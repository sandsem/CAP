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sandrinesempronio/Downloads/"/>
    </mc:Choice>
  </mc:AlternateContent>
  <xr:revisionPtr revIDLastSave="0" documentId="8_{AEE5BBF2-78F1-0B46-B631-BE4079319D21}" xr6:coauthVersionLast="47" xr6:coauthVersionMax="47" xr10:uidLastSave="{00000000-0000-0000-0000-000000000000}"/>
  <bookViews>
    <workbookView xWindow="14680" yWindow="660" windowWidth="14720" windowHeight="17300" xr2:uid="{00000000-000D-0000-FFFF-FFFF00000000}"/>
  </bookViews>
  <sheets>
    <sheet name="Mode d'emploi" sheetId="1" r:id="rId1"/>
    <sheet name="Paramètres" sheetId="2" r:id="rId2"/>
    <sheet name="Calendrier éditorial" sheetId="3" r:id="rId3"/>
    <sheet name="Tableau de bord" sheetId="4" r:id="rId4"/>
    <sheet name="Glossaire KPI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4" l="1"/>
  <c r="L21" i="4"/>
  <c r="K21" i="4"/>
  <c r="J21" i="4"/>
  <c r="I21" i="4"/>
  <c r="M20" i="4"/>
  <c r="L20" i="4"/>
  <c r="K20" i="4"/>
  <c r="J20" i="4"/>
  <c r="I20" i="4"/>
  <c r="Q19" i="4"/>
  <c r="P19" i="4"/>
  <c r="M19" i="4"/>
  <c r="L19" i="4"/>
  <c r="K19" i="4"/>
  <c r="J19" i="4"/>
  <c r="I19" i="4"/>
  <c r="F19" i="4"/>
  <c r="R19" i="4" s="1"/>
  <c r="E19" i="4"/>
  <c r="D19" i="4"/>
  <c r="C19" i="4"/>
  <c r="B19" i="4"/>
  <c r="Q18" i="4"/>
  <c r="P18" i="4"/>
  <c r="M18" i="4"/>
  <c r="L18" i="4"/>
  <c r="K18" i="4"/>
  <c r="J18" i="4"/>
  <c r="I18" i="4"/>
  <c r="F18" i="4"/>
  <c r="R18" i="4" s="1"/>
  <c r="E18" i="4"/>
  <c r="D18" i="4"/>
  <c r="C18" i="4"/>
  <c r="B18" i="4"/>
  <c r="R17" i="4"/>
  <c r="Q17" i="4"/>
  <c r="P17" i="4"/>
  <c r="M17" i="4"/>
  <c r="L17" i="4"/>
  <c r="K17" i="4"/>
  <c r="J17" i="4"/>
  <c r="I17" i="4"/>
  <c r="F17" i="4"/>
  <c r="E17" i="4"/>
  <c r="D17" i="4"/>
  <c r="C17" i="4"/>
  <c r="B17" i="4"/>
  <c r="P16" i="4"/>
  <c r="M16" i="4"/>
  <c r="L16" i="4"/>
  <c r="K16" i="4"/>
  <c r="J16" i="4"/>
  <c r="I16" i="4"/>
  <c r="F16" i="4"/>
  <c r="R16" i="4" s="1"/>
  <c r="E16" i="4"/>
  <c r="Q16" i="4" s="1"/>
  <c r="D16" i="4"/>
  <c r="C16" i="4"/>
  <c r="B16" i="4"/>
  <c r="P11" i="4"/>
  <c r="M11" i="4"/>
  <c r="J11" i="4"/>
  <c r="G11" i="4"/>
  <c r="D11" i="4"/>
  <c r="A11" i="4"/>
  <c r="P7" i="4"/>
  <c r="J7" i="4"/>
  <c r="G7" i="4"/>
  <c r="D7" i="4"/>
  <c r="A7" i="4"/>
  <c r="AK305" i="3"/>
  <c r="AA305" i="3"/>
  <c r="AB305" i="3" s="1"/>
  <c r="C305" i="3"/>
  <c r="A305" i="3"/>
  <c r="AK304" i="3"/>
  <c r="AA304" i="3"/>
  <c r="AB304" i="3" s="1"/>
  <c r="C304" i="3"/>
  <c r="A304" i="3"/>
  <c r="AK303" i="3"/>
  <c r="AA303" i="3"/>
  <c r="AB303" i="3" s="1"/>
  <c r="C303" i="3"/>
  <c r="A303" i="3"/>
  <c r="AK302" i="3"/>
  <c r="AA302" i="3"/>
  <c r="AB302" i="3" s="1"/>
  <c r="C302" i="3"/>
  <c r="A302" i="3"/>
  <c r="AK301" i="3"/>
  <c r="AA301" i="3"/>
  <c r="AB301" i="3" s="1"/>
  <c r="C301" i="3"/>
  <c r="A301" i="3"/>
  <c r="AK300" i="3"/>
  <c r="AA300" i="3"/>
  <c r="AB300" i="3" s="1"/>
  <c r="C300" i="3"/>
  <c r="A300" i="3"/>
  <c r="AK299" i="3"/>
  <c r="AA299" i="3"/>
  <c r="AB299" i="3" s="1"/>
  <c r="C299" i="3"/>
  <c r="A299" i="3"/>
  <c r="AK298" i="3"/>
  <c r="AA298" i="3"/>
  <c r="AB298" i="3" s="1"/>
  <c r="C298" i="3"/>
  <c r="A298" i="3"/>
  <c r="AK297" i="3"/>
  <c r="AA297" i="3"/>
  <c r="AB297" i="3" s="1"/>
  <c r="C297" i="3"/>
  <c r="A297" i="3"/>
  <c r="AK296" i="3"/>
  <c r="AA296" i="3"/>
  <c r="AB296" i="3" s="1"/>
  <c r="C296" i="3"/>
  <c r="A296" i="3"/>
  <c r="AK295" i="3"/>
  <c r="AA295" i="3"/>
  <c r="AB295" i="3" s="1"/>
  <c r="C295" i="3"/>
  <c r="A295" i="3"/>
  <c r="AK294" i="3"/>
  <c r="AA294" i="3"/>
  <c r="AB294" i="3" s="1"/>
  <c r="C294" i="3"/>
  <c r="A294" i="3"/>
  <c r="AK293" i="3"/>
  <c r="AA293" i="3"/>
  <c r="AB293" i="3" s="1"/>
  <c r="C293" i="3"/>
  <c r="A293" i="3"/>
  <c r="AK292" i="3"/>
  <c r="AA292" i="3"/>
  <c r="AB292" i="3" s="1"/>
  <c r="C292" i="3"/>
  <c r="A292" i="3"/>
  <c r="AK291" i="3"/>
  <c r="AA291" i="3"/>
  <c r="AB291" i="3" s="1"/>
  <c r="C291" i="3"/>
  <c r="A291" i="3"/>
  <c r="AK290" i="3"/>
  <c r="AA290" i="3"/>
  <c r="AB290" i="3" s="1"/>
  <c r="C290" i="3"/>
  <c r="A290" i="3"/>
  <c r="AK289" i="3"/>
  <c r="AA289" i="3"/>
  <c r="AB289" i="3" s="1"/>
  <c r="C289" i="3"/>
  <c r="A289" i="3"/>
  <c r="AK288" i="3"/>
  <c r="AA288" i="3"/>
  <c r="AB288" i="3" s="1"/>
  <c r="C288" i="3"/>
  <c r="A288" i="3"/>
  <c r="AK287" i="3"/>
  <c r="AA287" i="3"/>
  <c r="AB287" i="3" s="1"/>
  <c r="C287" i="3"/>
  <c r="A287" i="3"/>
  <c r="AK286" i="3"/>
  <c r="AA286" i="3"/>
  <c r="AB286" i="3" s="1"/>
  <c r="C286" i="3"/>
  <c r="A286" i="3"/>
  <c r="AK285" i="3"/>
  <c r="AA285" i="3"/>
  <c r="AB285" i="3" s="1"/>
  <c r="C285" i="3"/>
  <c r="A285" i="3"/>
  <c r="AK284" i="3"/>
  <c r="AA284" i="3"/>
  <c r="AB284" i="3" s="1"/>
  <c r="C284" i="3"/>
  <c r="A284" i="3"/>
  <c r="AK283" i="3"/>
  <c r="AA283" i="3"/>
  <c r="AB283" i="3" s="1"/>
  <c r="C283" i="3"/>
  <c r="A283" i="3"/>
  <c r="AK282" i="3"/>
  <c r="AA282" i="3"/>
  <c r="AB282" i="3" s="1"/>
  <c r="C282" i="3"/>
  <c r="A282" i="3"/>
  <c r="AK281" i="3"/>
  <c r="AA281" i="3"/>
  <c r="AB281" i="3" s="1"/>
  <c r="C281" i="3"/>
  <c r="A281" i="3"/>
  <c r="AK280" i="3"/>
  <c r="AA280" i="3"/>
  <c r="AB280" i="3" s="1"/>
  <c r="C280" i="3"/>
  <c r="A280" i="3"/>
  <c r="AK279" i="3"/>
  <c r="AA279" i="3"/>
  <c r="AB279" i="3" s="1"/>
  <c r="C279" i="3"/>
  <c r="A279" i="3"/>
  <c r="AK278" i="3"/>
  <c r="AA278" i="3"/>
  <c r="AB278" i="3" s="1"/>
  <c r="C278" i="3"/>
  <c r="A278" i="3"/>
  <c r="AK277" i="3"/>
  <c r="AA277" i="3"/>
  <c r="AB277" i="3" s="1"/>
  <c r="C277" i="3"/>
  <c r="A277" i="3"/>
  <c r="AK276" i="3"/>
  <c r="AA276" i="3"/>
  <c r="AB276" i="3" s="1"/>
  <c r="C276" i="3"/>
  <c r="A276" i="3"/>
  <c r="AK275" i="3"/>
  <c r="AA275" i="3"/>
  <c r="AB275" i="3" s="1"/>
  <c r="C275" i="3"/>
  <c r="A275" i="3"/>
  <c r="AK274" i="3"/>
  <c r="AA274" i="3"/>
  <c r="AB274" i="3" s="1"/>
  <c r="C274" i="3"/>
  <c r="A274" i="3"/>
  <c r="AK273" i="3"/>
  <c r="AA273" i="3"/>
  <c r="AB273" i="3" s="1"/>
  <c r="C273" i="3"/>
  <c r="A273" i="3"/>
  <c r="AK272" i="3"/>
  <c r="AA272" i="3"/>
  <c r="AB272" i="3" s="1"/>
  <c r="C272" i="3"/>
  <c r="A272" i="3"/>
  <c r="AK271" i="3"/>
  <c r="AA271" i="3"/>
  <c r="AB271" i="3" s="1"/>
  <c r="C271" i="3"/>
  <c r="A271" i="3"/>
  <c r="AK270" i="3"/>
  <c r="AA270" i="3"/>
  <c r="AB270" i="3" s="1"/>
  <c r="C270" i="3"/>
  <c r="A270" i="3"/>
  <c r="AK269" i="3"/>
  <c r="AA269" i="3"/>
  <c r="AB269" i="3" s="1"/>
  <c r="C269" i="3"/>
  <c r="A269" i="3"/>
  <c r="AK268" i="3"/>
  <c r="AA268" i="3"/>
  <c r="AB268" i="3" s="1"/>
  <c r="C268" i="3"/>
  <c r="A268" i="3"/>
  <c r="AK267" i="3"/>
  <c r="AA267" i="3"/>
  <c r="AB267" i="3" s="1"/>
  <c r="C267" i="3"/>
  <c r="A267" i="3"/>
  <c r="AK266" i="3"/>
  <c r="AA266" i="3"/>
  <c r="AB266" i="3" s="1"/>
  <c r="C266" i="3"/>
  <c r="A266" i="3"/>
  <c r="AK265" i="3"/>
  <c r="AA265" i="3"/>
  <c r="AB265" i="3" s="1"/>
  <c r="C265" i="3"/>
  <c r="A265" i="3"/>
  <c r="AK264" i="3"/>
  <c r="AA264" i="3"/>
  <c r="AB264" i="3" s="1"/>
  <c r="C264" i="3"/>
  <c r="A264" i="3"/>
  <c r="AK263" i="3"/>
  <c r="AA263" i="3"/>
  <c r="AB263" i="3" s="1"/>
  <c r="C263" i="3"/>
  <c r="A263" i="3"/>
  <c r="AK262" i="3"/>
  <c r="AA262" i="3"/>
  <c r="AB262" i="3" s="1"/>
  <c r="C262" i="3"/>
  <c r="A262" i="3"/>
  <c r="AK261" i="3"/>
  <c r="AA261" i="3"/>
  <c r="AB261" i="3" s="1"/>
  <c r="C261" i="3"/>
  <c r="A261" i="3"/>
  <c r="AK260" i="3"/>
  <c r="AA260" i="3"/>
  <c r="AB260" i="3" s="1"/>
  <c r="C260" i="3"/>
  <c r="A260" i="3"/>
  <c r="AK259" i="3"/>
  <c r="AA259" i="3"/>
  <c r="AB259" i="3" s="1"/>
  <c r="C259" i="3"/>
  <c r="A259" i="3"/>
  <c r="AK258" i="3"/>
  <c r="AA258" i="3"/>
  <c r="AB258" i="3" s="1"/>
  <c r="C258" i="3"/>
  <c r="A258" i="3"/>
  <c r="AK257" i="3"/>
  <c r="AA257" i="3"/>
  <c r="AB257" i="3" s="1"/>
  <c r="C257" i="3"/>
  <c r="A257" i="3"/>
  <c r="AK256" i="3"/>
  <c r="AA256" i="3"/>
  <c r="AB256" i="3" s="1"/>
  <c r="C256" i="3"/>
  <c r="A256" i="3"/>
  <c r="AK255" i="3"/>
  <c r="AA255" i="3"/>
  <c r="AB255" i="3" s="1"/>
  <c r="C255" i="3"/>
  <c r="A255" i="3"/>
  <c r="AK254" i="3"/>
  <c r="AA254" i="3"/>
  <c r="AB254" i="3" s="1"/>
  <c r="C254" i="3"/>
  <c r="A254" i="3"/>
  <c r="AK253" i="3"/>
  <c r="AA253" i="3"/>
  <c r="AB253" i="3" s="1"/>
  <c r="C253" i="3"/>
  <c r="A253" i="3"/>
  <c r="AK252" i="3"/>
  <c r="AA252" i="3"/>
  <c r="AB252" i="3" s="1"/>
  <c r="C252" i="3"/>
  <c r="A252" i="3"/>
  <c r="AK251" i="3"/>
  <c r="AA251" i="3"/>
  <c r="AB251" i="3" s="1"/>
  <c r="C251" i="3"/>
  <c r="A251" i="3"/>
  <c r="AK250" i="3"/>
  <c r="AA250" i="3"/>
  <c r="AB250" i="3" s="1"/>
  <c r="C250" i="3"/>
  <c r="A250" i="3"/>
  <c r="AK249" i="3"/>
  <c r="AA249" i="3"/>
  <c r="AB249" i="3" s="1"/>
  <c r="C249" i="3"/>
  <c r="A249" i="3"/>
  <c r="AK248" i="3"/>
  <c r="AA248" i="3"/>
  <c r="AB248" i="3" s="1"/>
  <c r="C248" i="3"/>
  <c r="A248" i="3"/>
  <c r="AK247" i="3"/>
  <c r="AA247" i="3"/>
  <c r="AB247" i="3" s="1"/>
  <c r="C247" i="3"/>
  <c r="A247" i="3"/>
  <c r="AK246" i="3"/>
  <c r="AA246" i="3"/>
  <c r="AB246" i="3" s="1"/>
  <c r="C246" i="3"/>
  <c r="A246" i="3"/>
  <c r="AK245" i="3"/>
  <c r="AA245" i="3"/>
  <c r="AB245" i="3" s="1"/>
  <c r="C245" i="3"/>
  <c r="A245" i="3"/>
  <c r="AK244" i="3"/>
  <c r="AA244" i="3"/>
  <c r="AB244" i="3" s="1"/>
  <c r="C244" i="3"/>
  <c r="A244" i="3"/>
  <c r="AK243" i="3"/>
  <c r="AA243" i="3"/>
  <c r="AB243" i="3" s="1"/>
  <c r="C243" i="3"/>
  <c r="A243" i="3"/>
  <c r="AK242" i="3"/>
  <c r="AA242" i="3"/>
  <c r="AB242" i="3" s="1"/>
  <c r="C242" i="3"/>
  <c r="A242" i="3"/>
  <c r="AK241" i="3"/>
  <c r="AA241" i="3"/>
  <c r="AB241" i="3" s="1"/>
  <c r="C241" i="3"/>
  <c r="A241" i="3"/>
  <c r="AK240" i="3"/>
  <c r="AA240" i="3"/>
  <c r="AB240" i="3" s="1"/>
  <c r="C240" i="3"/>
  <c r="A240" i="3"/>
  <c r="AK239" i="3"/>
  <c r="AA239" i="3"/>
  <c r="AB239" i="3" s="1"/>
  <c r="C239" i="3"/>
  <c r="A239" i="3"/>
  <c r="AK238" i="3"/>
  <c r="AA238" i="3"/>
  <c r="AB238" i="3" s="1"/>
  <c r="C238" i="3"/>
  <c r="A238" i="3"/>
  <c r="AK237" i="3"/>
  <c r="AA237" i="3"/>
  <c r="AB237" i="3" s="1"/>
  <c r="C237" i="3"/>
  <c r="A237" i="3"/>
  <c r="AK236" i="3"/>
  <c r="AA236" i="3"/>
  <c r="AB236" i="3" s="1"/>
  <c r="C236" i="3"/>
  <c r="A236" i="3"/>
  <c r="AK235" i="3"/>
  <c r="AA235" i="3"/>
  <c r="AB235" i="3" s="1"/>
  <c r="C235" i="3"/>
  <c r="A235" i="3"/>
  <c r="AK234" i="3"/>
  <c r="AA234" i="3"/>
  <c r="AB234" i="3" s="1"/>
  <c r="C234" i="3"/>
  <c r="A234" i="3"/>
  <c r="AK233" i="3"/>
  <c r="AA233" i="3"/>
  <c r="AB233" i="3" s="1"/>
  <c r="C233" i="3"/>
  <c r="A233" i="3"/>
  <c r="AK232" i="3"/>
  <c r="AA232" i="3"/>
  <c r="AB232" i="3" s="1"/>
  <c r="C232" i="3"/>
  <c r="A232" i="3"/>
  <c r="AK231" i="3"/>
  <c r="AA231" i="3"/>
  <c r="AB231" i="3" s="1"/>
  <c r="C231" i="3"/>
  <c r="A231" i="3"/>
  <c r="AK230" i="3"/>
  <c r="AA230" i="3"/>
  <c r="AB230" i="3" s="1"/>
  <c r="C230" i="3"/>
  <c r="A230" i="3"/>
  <c r="AK229" i="3"/>
  <c r="AA229" i="3"/>
  <c r="AB229" i="3" s="1"/>
  <c r="C229" i="3"/>
  <c r="A229" i="3"/>
  <c r="AK228" i="3"/>
  <c r="AA228" i="3"/>
  <c r="AB228" i="3" s="1"/>
  <c r="C228" i="3"/>
  <c r="A228" i="3"/>
  <c r="AK227" i="3"/>
  <c r="AA227" i="3"/>
  <c r="AB227" i="3" s="1"/>
  <c r="C227" i="3"/>
  <c r="A227" i="3"/>
  <c r="AK226" i="3"/>
  <c r="AA226" i="3"/>
  <c r="AB226" i="3" s="1"/>
  <c r="C226" i="3"/>
  <c r="A226" i="3"/>
  <c r="AK225" i="3"/>
  <c r="AA225" i="3"/>
  <c r="AB225" i="3" s="1"/>
  <c r="C225" i="3"/>
  <c r="A225" i="3"/>
  <c r="AK224" i="3"/>
  <c r="AA224" i="3"/>
  <c r="AB224" i="3" s="1"/>
  <c r="C224" i="3"/>
  <c r="A224" i="3"/>
  <c r="AK223" i="3"/>
  <c r="AA223" i="3"/>
  <c r="AB223" i="3" s="1"/>
  <c r="C223" i="3"/>
  <c r="A223" i="3"/>
  <c r="AK222" i="3"/>
  <c r="AA222" i="3"/>
  <c r="AB222" i="3" s="1"/>
  <c r="C222" i="3"/>
  <c r="A222" i="3"/>
  <c r="AK221" i="3"/>
  <c r="AA221" i="3"/>
  <c r="AB221" i="3" s="1"/>
  <c r="C221" i="3"/>
  <c r="A221" i="3"/>
  <c r="AK220" i="3"/>
  <c r="AA220" i="3"/>
  <c r="AB220" i="3" s="1"/>
  <c r="C220" i="3"/>
  <c r="A220" i="3"/>
  <c r="AK219" i="3"/>
  <c r="AA219" i="3"/>
  <c r="AB219" i="3" s="1"/>
  <c r="C219" i="3"/>
  <c r="A219" i="3"/>
  <c r="AK218" i="3"/>
  <c r="AA218" i="3"/>
  <c r="AB218" i="3" s="1"/>
  <c r="C218" i="3"/>
  <c r="A218" i="3"/>
  <c r="AK217" i="3"/>
  <c r="AA217" i="3"/>
  <c r="AB217" i="3" s="1"/>
  <c r="C217" i="3"/>
  <c r="A217" i="3"/>
  <c r="AK216" i="3"/>
  <c r="AA216" i="3"/>
  <c r="AB216" i="3" s="1"/>
  <c r="C216" i="3"/>
  <c r="A216" i="3"/>
  <c r="AK215" i="3"/>
  <c r="AA215" i="3"/>
  <c r="AB215" i="3" s="1"/>
  <c r="C215" i="3"/>
  <c r="A215" i="3"/>
  <c r="AK214" i="3"/>
  <c r="AA214" i="3"/>
  <c r="AB214" i="3" s="1"/>
  <c r="C214" i="3"/>
  <c r="A214" i="3"/>
  <c r="AK213" i="3"/>
  <c r="AA213" i="3"/>
  <c r="AB213" i="3" s="1"/>
  <c r="C213" i="3"/>
  <c r="A213" i="3"/>
  <c r="AK212" i="3"/>
  <c r="AA212" i="3"/>
  <c r="AB212" i="3" s="1"/>
  <c r="C212" i="3"/>
  <c r="A212" i="3"/>
  <c r="AK211" i="3"/>
  <c r="AA211" i="3"/>
  <c r="AB211" i="3" s="1"/>
  <c r="C211" i="3"/>
  <c r="A211" i="3"/>
  <c r="AK210" i="3"/>
  <c r="AA210" i="3"/>
  <c r="AB210" i="3" s="1"/>
  <c r="C210" i="3"/>
  <c r="A210" i="3"/>
  <c r="AK209" i="3"/>
  <c r="AA209" i="3"/>
  <c r="AB209" i="3" s="1"/>
  <c r="C209" i="3"/>
  <c r="A209" i="3"/>
  <c r="AK208" i="3"/>
  <c r="AA208" i="3"/>
  <c r="AB208" i="3" s="1"/>
  <c r="C208" i="3"/>
  <c r="A208" i="3"/>
  <c r="AK207" i="3"/>
  <c r="AA207" i="3"/>
  <c r="AB207" i="3" s="1"/>
  <c r="C207" i="3"/>
  <c r="A207" i="3"/>
  <c r="AK206" i="3"/>
  <c r="AA206" i="3"/>
  <c r="AB206" i="3" s="1"/>
  <c r="C206" i="3"/>
  <c r="A206" i="3"/>
  <c r="AK205" i="3"/>
  <c r="AA205" i="3"/>
  <c r="AB205" i="3" s="1"/>
  <c r="C205" i="3"/>
  <c r="A205" i="3"/>
  <c r="AK204" i="3"/>
  <c r="AA204" i="3"/>
  <c r="AB204" i="3" s="1"/>
  <c r="C204" i="3"/>
  <c r="A204" i="3"/>
  <c r="AK203" i="3"/>
  <c r="AA203" i="3"/>
  <c r="AB203" i="3" s="1"/>
  <c r="C203" i="3"/>
  <c r="A203" i="3"/>
  <c r="AK202" i="3"/>
  <c r="AA202" i="3"/>
  <c r="AB202" i="3" s="1"/>
  <c r="C202" i="3"/>
  <c r="A202" i="3"/>
  <c r="AK201" i="3"/>
  <c r="AA201" i="3"/>
  <c r="AB201" i="3" s="1"/>
  <c r="C201" i="3"/>
  <c r="A201" i="3"/>
  <c r="AK200" i="3"/>
  <c r="AA200" i="3"/>
  <c r="AB200" i="3" s="1"/>
  <c r="C200" i="3"/>
  <c r="A200" i="3"/>
  <c r="AK199" i="3"/>
  <c r="AA199" i="3"/>
  <c r="AB199" i="3" s="1"/>
  <c r="C199" i="3"/>
  <c r="A199" i="3"/>
  <c r="AK198" i="3"/>
  <c r="AA198" i="3"/>
  <c r="AB198" i="3" s="1"/>
  <c r="C198" i="3"/>
  <c r="A198" i="3"/>
  <c r="AK197" i="3"/>
  <c r="AA197" i="3"/>
  <c r="AB197" i="3" s="1"/>
  <c r="C197" i="3"/>
  <c r="A197" i="3"/>
  <c r="AK196" i="3"/>
  <c r="AA196" i="3"/>
  <c r="AB196" i="3" s="1"/>
  <c r="C196" i="3"/>
  <c r="A196" i="3"/>
  <c r="AK195" i="3"/>
  <c r="AA195" i="3"/>
  <c r="AB195" i="3" s="1"/>
  <c r="C195" i="3"/>
  <c r="A195" i="3"/>
  <c r="AK194" i="3"/>
  <c r="AA194" i="3"/>
  <c r="AB194" i="3" s="1"/>
  <c r="C194" i="3"/>
  <c r="A194" i="3"/>
  <c r="AK193" i="3"/>
  <c r="AA193" i="3"/>
  <c r="AB193" i="3" s="1"/>
  <c r="C193" i="3"/>
  <c r="A193" i="3"/>
  <c r="AK192" i="3"/>
  <c r="AA192" i="3"/>
  <c r="AB192" i="3" s="1"/>
  <c r="C192" i="3"/>
  <c r="A192" i="3"/>
  <c r="AK191" i="3"/>
  <c r="AA191" i="3"/>
  <c r="AB191" i="3" s="1"/>
  <c r="C191" i="3"/>
  <c r="A191" i="3"/>
  <c r="AK190" i="3"/>
  <c r="AA190" i="3"/>
  <c r="AB190" i="3" s="1"/>
  <c r="C190" i="3"/>
  <c r="A190" i="3"/>
  <c r="AK189" i="3"/>
  <c r="AA189" i="3"/>
  <c r="AB189" i="3" s="1"/>
  <c r="C189" i="3"/>
  <c r="A189" i="3"/>
  <c r="AK188" i="3"/>
  <c r="AA188" i="3"/>
  <c r="AB188" i="3" s="1"/>
  <c r="C188" i="3"/>
  <c r="A188" i="3"/>
  <c r="AK187" i="3"/>
  <c r="AA187" i="3"/>
  <c r="AB187" i="3" s="1"/>
  <c r="C187" i="3"/>
  <c r="A187" i="3"/>
  <c r="AK186" i="3"/>
  <c r="AA186" i="3"/>
  <c r="AB186" i="3" s="1"/>
  <c r="C186" i="3"/>
  <c r="A186" i="3"/>
  <c r="AK185" i="3"/>
  <c r="AA185" i="3"/>
  <c r="AB185" i="3" s="1"/>
  <c r="C185" i="3"/>
  <c r="A185" i="3"/>
  <c r="AK184" i="3"/>
  <c r="AA184" i="3"/>
  <c r="AB184" i="3" s="1"/>
  <c r="C184" i="3"/>
  <c r="A184" i="3"/>
  <c r="AK183" i="3"/>
  <c r="AA183" i="3"/>
  <c r="AB183" i="3" s="1"/>
  <c r="C183" i="3"/>
  <c r="A183" i="3"/>
  <c r="AK182" i="3"/>
  <c r="AA182" i="3"/>
  <c r="AB182" i="3" s="1"/>
  <c r="C182" i="3"/>
  <c r="A182" i="3"/>
  <c r="AK181" i="3"/>
  <c r="AA181" i="3"/>
  <c r="AB181" i="3" s="1"/>
  <c r="C181" i="3"/>
  <c r="A181" i="3"/>
  <c r="AK180" i="3"/>
  <c r="AA180" i="3"/>
  <c r="AB180" i="3" s="1"/>
  <c r="C180" i="3"/>
  <c r="A180" i="3"/>
  <c r="AK179" i="3"/>
  <c r="AA179" i="3"/>
  <c r="AB179" i="3" s="1"/>
  <c r="C179" i="3"/>
  <c r="A179" i="3"/>
  <c r="AK178" i="3"/>
  <c r="AA178" i="3"/>
  <c r="AB178" i="3" s="1"/>
  <c r="C178" i="3"/>
  <c r="A178" i="3"/>
  <c r="AK177" i="3"/>
  <c r="AA177" i="3"/>
  <c r="AB177" i="3" s="1"/>
  <c r="C177" i="3"/>
  <c r="A177" i="3"/>
  <c r="AK176" i="3"/>
  <c r="AA176" i="3"/>
  <c r="AB176" i="3" s="1"/>
  <c r="C176" i="3"/>
  <c r="A176" i="3"/>
  <c r="AK175" i="3"/>
  <c r="AA175" i="3"/>
  <c r="AB175" i="3" s="1"/>
  <c r="C175" i="3"/>
  <c r="A175" i="3"/>
  <c r="AK174" i="3"/>
  <c r="AA174" i="3"/>
  <c r="AB174" i="3" s="1"/>
  <c r="C174" i="3"/>
  <c r="A174" i="3"/>
  <c r="AK173" i="3"/>
  <c r="AA173" i="3"/>
  <c r="AB173" i="3" s="1"/>
  <c r="C173" i="3"/>
  <c r="A173" i="3"/>
  <c r="AK172" i="3"/>
  <c r="AA172" i="3"/>
  <c r="AB172" i="3" s="1"/>
  <c r="C172" i="3"/>
  <c r="A172" i="3"/>
  <c r="AK171" i="3"/>
  <c r="AA171" i="3"/>
  <c r="AB171" i="3" s="1"/>
  <c r="C171" i="3"/>
  <c r="A171" i="3"/>
  <c r="AK170" i="3"/>
  <c r="AA170" i="3"/>
  <c r="AB170" i="3" s="1"/>
  <c r="C170" i="3"/>
  <c r="A170" i="3"/>
  <c r="AK169" i="3"/>
  <c r="AA169" i="3"/>
  <c r="AB169" i="3" s="1"/>
  <c r="C169" i="3"/>
  <c r="A169" i="3"/>
  <c r="AK168" i="3"/>
  <c r="AA168" i="3"/>
  <c r="AB168" i="3" s="1"/>
  <c r="C168" i="3"/>
  <c r="A168" i="3"/>
  <c r="AK167" i="3"/>
  <c r="AA167" i="3"/>
  <c r="AB167" i="3" s="1"/>
  <c r="C167" i="3"/>
  <c r="A167" i="3"/>
  <c r="AK166" i="3"/>
  <c r="AA166" i="3"/>
  <c r="AB166" i="3" s="1"/>
  <c r="C166" i="3"/>
  <c r="A166" i="3"/>
  <c r="AK165" i="3"/>
  <c r="AA165" i="3"/>
  <c r="AB165" i="3" s="1"/>
  <c r="C165" i="3"/>
  <c r="A165" i="3"/>
  <c r="AK164" i="3"/>
  <c r="AA164" i="3"/>
  <c r="AB164" i="3" s="1"/>
  <c r="C164" i="3"/>
  <c r="A164" i="3"/>
  <c r="AK163" i="3"/>
  <c r="AA163" i="3"/>
  <c r="AB163" i="3" s="1"/>
  <c r="C163" i="3"/>
  <c r="A163" i="3"/>
  <c r="AK162" i="3"/>
  <c r="AA162" i="3"/>
  <c r="AB162" i="3" s="1"/>
  <c r="C162" i="3"/>
  <c r="A162" i="3"/>
  <c r="AK161" i="3"/>
  <c r="AA161" i="3"/>
  <c r="AB161" i="3" s="1"/>
  <c r="C161" i="3"/>
  <c r="A161" i="3"/>
  <c r="AK160" i="3"/>
  <c r="AA160" i="3"/>
  <c r="AB160" i="3" s="1"/>
  <c r="C160" i="3"/>
  <c r="A160" i="3"/>
  <c r="AK159" i="3"/>
  <c r="AA159" i="3"/>
  <c r="AB159" i="3" s="1"/>
  <c r="C159" i="3"/>
  <c r="A159" i="3"/>
  <c r="AK158" i="3"/>
  <c r="AA158" i="3"/>
  <c r="AB158" i="3" s="1"/>
  <c r="C158" i="3"/>
  <c r="A158" i="3"/>
  <c r="AK157" i="3"/>
  <c r="AA157" i="3"/>
  <c r="AB157" i="3" s="1"/>
  <c r="C157" i="3"/>
  <c r="A157" i="3"/>
  <c r="AK156" i="3"/>
  <c r="AA156" i="3"/>
  <c r="AB156" i="3" s="1"/>
  <c r="C156" i="3"/>
  <c r="A156" i="3"/>
  <c r="AK155" i="3"/>
  <c r="AA155" i="3"/>
  <c r="AB155" i="3" s="1"/>
  <c r="C155" i="3"/>
  <c r="A155" i="3"/>
  <c r="AK154" i="3"/>
  <c r="AA154" i="3"/>
  <c r="AB154" i="3" s="1"/>
  <c r="C154" i="3"/>
  <c r="A154" i="3"/>
  <c r="AK153" i="3"/>
  <c r="AA153" i="3"/>
  <c r="AB153" i="3" s="1"/>
  <c r="C153" i="3"/>
  <c r="A153" i="3"/>
  <c r="AK152" i="3"/>
  <c r="AA152" i="3"/>
  <c r="AB152" i="3" s="1"/>
  <c r="C152" i="3"/>
  <c r="A152" i="3"/>
  <c r="AK151" i="3"/>
  <c r="AA151" i="3"/>
  <c r="AB151" i="3" s="1"/>
  <c r="C151" i="3"/>
  <c r="A151" i="3"/>
  <c r="AK150" i="3"/>
  <c r="AA150" i="3"/>
  <c r="AB150" i="3" s="1"/>
  <c r="C150" i="3"/>
  <c r="A150" i="3"/>
  <c r="AK149" i="3"/>
  <c r="AA149" i="3"/>
  <c r="AB149" i="3" s="1"/>
  <c r="C149" i="3"/>
  <c r="A149" i="3"/>
  <c r="AK148" i="3"/>
  <c r="AA148" i="3"/>
  <c r="AB148" i="3" s="1"/>
  <c r="C148" i="3"/>
  <c r="A148" i="3"/>
  <c r="AK147" i="3"/>
  <c r="AA147" i="3"/>
  <c r="AB147" i="3" s="1"/>
  <c r="C147" i="3"/>
  <c r="A147" i="3"/>
  <c r="AK146" i="3"/>
  <c r="AA146" i="3"/>
  <c r="AB146" i="3" s="1"/>
  <c r="C146" i="3"/>
  <c r="A146" i="3"/>
  <c r="AK145" i="3"/>
  <c r="AA145" i="3"/>
  <c r="AB145" i="3" s="1"/>
  <c r="C145" i="3"/>
  <c r="A145" i="3"/>
  <c r="AK144" i="3"/>
  <c r="AA144" i="3"/>
  <c r="AB144" i="3" s="1"/>
  <c r="C144" i="3"/>
  <c r="A144" i="3"/>
  <c r="AK143" i="3"/>
  <c r="AA143" i="3"/>
  <c r="AB143" i="3" s="1"/>
  <c r="C143" i="3"/>
  <c r="A143" i="3"/>
  <c r="AK142" i="3"/>
  <c r="AA142" i="3"/>
  <c r="AB142" i="3" s="1"/>
  <c r="C142" i="3"/>
  <c r="A142" i="3"/>
  <c r="AK141" i="3"/>
  <c r="AA141" i="3"/>
  <c r="AB141" i="3" s="1"/>
  <c r="C141" i="3"/>
  <c r="A141" i="3"/>
  <c r="AK140" i="3"/>
  <c r="AA140" i="3"/>
  <c r="AB140" i="3" s="1"/>
  <c r="C140" i="3"/>
  <c r="A140" i="3"/>
  <c r="AK139" i="3"/>
  <c r="AA139" i="3"/>
  <c r="AB139" i="3" s="1"/>
  <c r="C139" i="3"/>
  <c r="A139" i="3"/>
  <c r="AK138" i="3"/>
  <c r="AA138" i="3"/>
  <c r="AB138" i="3" s="1"/>
  <c r="C138" i="3"/>
  <c r="A138" i="3"/>
  <c r="AK137" i="3"/>
  <c r="AA137" i="3"/>
  <c r="AB137" i="3" s="1"/>
  <c r="C137" i="3"/>
  <c r="A137" i="3"/>
  <c r="AK136" i="3"/>
  <c r="AA136" i="3"/>
  <c r="AB136" i="3" s="1"/>
  <c r="C136" i="3"/>
  <c r="A136" i="3"/>
  <c r="AK135" i="3"/>
  <c r="AA135" i="3"/>
  <c r="AB135" i="3" s="1"/>
  <c r="C135" i="3"/>
  <c r="A135" i="3"/>
  <c r="AK134" i="3"/>
  <c r="AA134" i="3"/>
  <c r="AB134" i="3" s="1"/>
  <c r="C134" i="3"/>
  <c r="A134" i="3"/>
  <c r="AK133" i="3"/>
  <c r="AA133" i="3"/>
  <c r="AB133" i="3" s="1"/>
  <c r="C133" i="3"/>
  <c r="A133" i="3"/>
  <c r="AK132" i="3"/>
  <c r="AA132" i="3"/>
  <c r="AB132" i="3" s="1"/>
  <c r="C132" i="3"/>
  <c r="A132" i="3"/>
  <c r="AK131" i="3"/>
  <c r="AA131" i="3"/>
  <c r="AB131" i="3" s="1"/>
  <c r="C131" i="3"/>
  <c r="A131" i="3"/>
  <c r="AK130" i="3"/>
  <c r="AA130" i="3"/>
  <c r="AB130" i="3" s="1"/>
  <c r="C130" i="3"/>
  <c r="A130" i="3"/>
  <c r="AK129" i="3"/>
  <c r="AA129" i="3"/>
  <c r="AB129" i="3" s="1"/>
  <c r="C129" i="3"/>
  <c r="A129" i="3"/>
  <c r="AK128" i="3"/>
  <c r="AA128" i="3"/>
  <c r="AB128" i="3" s="1"/>
  <c r="C128" i="3"/>
  <c r="A128" i="3"/>
  <c r="AK127" i="3"/>
  <c r="AA127" i="3"/>
  <c r="AB127" i="3" s="1"/>
  <c r="C127" i="3"/>
  <c r="A127" i="3"/>
  <c r="AK126" i="3"/>
  <c r="AA126" i="3"/>
  <c r="AB126" i="3" s="1"/>
  <c r="C126" i="3"/>
  <c r="A126" i="3"/>
  <c r="AK125" i="3"/>
  <c r="AA125" i="3"/>
  <c r="AB125" i="3" s="1"/>
  <c r="C125" i="3"/>
  <c r="A125" i="3"/>
  <c r="AK124" i="3"/>
  <c r="AA124" i="3"/>
  <c r="AB124" i="3" s="1"/>
  <c r="C124" i="3"/>
  <c r="A124" i="3"/>
  <c r="AK123" i="3"/>
  <c r="AA123" i="3"/>
  <c r="AB123" i="3" s="1"/>
  <c r="C123" i="3"/>
  <c r="A123" i="3"/>
  <c r="AK122" i="3"/>
  <c r="AA122" i="3"/>
  <c r="AB122" i="3" s="1"/>
  <c r="C122" i="3"/>
  <c r="A122" i="3"/>
  <c r="AK121" i="3"/>
  <c r="AA121" i="3"/>
  <c r="AB121" i="3" s="1"/>
  <c r="C121" i="3"/>
  <c r="A121" i="3"/>
  <c r="AK120" i="3"/>
  <c r="AA120" i="3"/>
  <c r="AB120" i="3" s="1"/>
  <c r="C120" i="3"/>
  <c r="A120" i="3"/>
  <c r="AK119" i="3"/>
  <c r="AA119" i="3"/>
  <c r="AB119" i="3" s="1"/>
  <c r="C119" i="3"/>
  <c r="A119" i="3"/>
  <c r="AK118" i="3"/>
  <c r="AA118" i="3"/>
  <c r="AB118" i="3" s="1"/>
  <c r="C118" i="3"/>
  <c r="A118" i="3"/>
  <c r="AK117" i="3"/>
  <c r="AA117" i="3"/>
  <c r="AB117" i="3" s="1"/>
  <c r="C117" i="3"/>
  <c r="A117" i="3"/>
  <c r="AK116" i="3"/>
  <c r="AA116" i="3"/>
  <c r="AB116" i="3" s="1"/>
  <c r="C116" i="3"/>
  <c r="A116" i="3"/>
  <c r="AK115" i="3"/>
  <c r="AA115" i="3"/>
  <c r="AB115" i="3" s="1"/>
  <c r="C115" i="3"/>
  <c r="A115" i="3"/>
  <c r="AK114" i="3"/>
  <c r="AA114" i="3"/>
  <c r="AB114" i="3" s="1"/>
  <c r="C114" i="3"/>
  <c r="A114" i="3"/>
  <c r="AK113" i="3"/>
  <c r="AA113" i="3"/>
  <c r="AB113" i="3" s="1"/>
  <c r="C113" i="3"/>
  <c r="A113" i="3"/>
  <c r="AK112" i="3"/>
  <c r="AA112" i="3"/>
  <c r="AB112" i="3" s="1"/>
  <c r="C112" i="3"/>
  <c r="A112" i="3"/>
  <c r="AK111" i="3"/>
  <c r="AA111" i="3"/>
  <c r="AB111" i="3" s="1"/>
  <c r="C111" i="3"/>
  <c r="A111" i="3"/>
  <c r="AK110" i="3"/>
  <c r="AA110" i="3"/>
  <c r="AB110" i="3" s="1"/>
  <c r="C110" i="3"/>
  <c r="A110" i="3"/>
  <c r="AK109" i="3"/>
  <c r="AA109" i="3"/>
  <c r="AB109" i="3" s="1"/>
  <c r="C109" i="3"/>
  <c r="A109" i="3"/>
  <c r="AK108" i="3"/>
  <c r="AA108" i="3"/>
  <c r="AB108" i="3" s="1"/>
  <c r="C108" i="3"/>
  <c r="A108" i="3"/>
  <c r="AK107" i="3"/>
  <c r="AA107" i="3"/>
  <c r="AB107" i="3" s="1"/>
  <c r="C107" i="3"/>
  <c r="A107" i="3"/>
  <c r="AK106" i="3"/>
  <c r="AA106" i="3"/>
  <c r="AB106" i="3" s="1"/>
  <c r="C106" i="3"/>
  <c r="A106" i="3"/>
  <c r="AK105" i="3"/>
  <c r="AA105" i="3"/>
  <c r="AB105" i="3" s="1"/>
  <c r="C105" i="3"/>
  <c r="A105" i="3"/>
  <c r="AK104" i="3"/>
  <c r="AA104" i="3"/>
  <c r="AB104" i="3" s="1"/>
  <c r="C104" i="3"/>
  <c r="A104" i="3"/>
  <c r="AK103" i="3"/>
  <c r="AA103" i="3"/>
  <c r="AB103" i="3" s="1"/>
  <c r="C103" i="3"/>
  <c r="A103" i="3"/>
  <c r="AK102" i="3"/>
  <c r="AA102" i="3"/>
  <c r="AB102" i="3" s="1"/>
  <c r="C102" i="3"/>
  <c r="A102" i="3"/>
  <c r="AK101" i="3"/>
  <c r="AA101" i="3"/>
  <c r="AB101" i="3" s="1"/>
  <c r="C101" i="3"/>
  <c r="A101" i="3"/>
  <c r="AK100" i="3"/>
  <c r="AA100" i="3"/>
  <c r="AB100" i="3" s="1"/>
  <c r="C100" i="3"/>
  <c r="A100" i="3"/>
  <c r="AK99" i="3"/>
  <c r="AA99" i="3"/>
  <c r="AB99" i="3" s="1"/>
  <c r="C99" i="3"/>
  <c r="A99" i="3"/>
  <c r="AK98" i="3"/>
  <c r="AA98" i="3"/>
  <c r="AB98" i="3" s="1"/>
  <c r="C98" i="3"/>
  <c r="A98" i="3"/>
  <c r="AK97" i="3"/>
  <c r="AA97" i="3"/>
  <c r="AB97" i="3" s="1"/>
  <c r="C97" i="3"/>
  <c r="A97" i="3"/>
  <c r="AK96" i="3"/>
  <c r="AA96" i="3"/>
  <c r="AB96" i="3" s="1"/>
  <c r="C96" i="3"/>
  <c r="A96" i="3"/>
  <c r="AK95" i="3"/>
  <c r="AA95" i="3"/>
  <c r="AB95" i="3" s="1"/>
  <c r="C95" i="3"/>
  <c r="A95" i="3"/>
  <c r="AK94" i="3"/>
  <c r="AA94" i="3"/>
  <c r="AB94" i="3" s="1"/>
  <c r="C94" i="3"/>
  <c r="A94" i="3"/>
  <c r="AK93" i="3"/>
  <c r="AA93" i="3"/>
  <c r="AB93" i="3" s="1"/>
  <c r="C93" i="3"/>
  <c r="A93" i="3"/>
  <c r="AK92" i="3"/>
  <c r="AA92" i="3"/>
  <c r="AB92" i="3" s="1"/>
  <c r="C92" i="3"/>
  <c r="A92" i="3"/>
  <c r="AK91" i="3"/>
  <c r="AA91" i="3"/>
  <c r="AB91" i="3" s="1"/>
  <c r="C91" i="3"/>
  <c r="A91" i="3"/>
  <c r="AK90" i="3"/>
  <c r="AA90" i="3"/>
  <c r="AB90" i="3" s="1"/>
  <c r="C90" i="3"/>
  <c r="A90" i="3"/>
  <c r="AK89" i="3"/>
  <c r="AA89" i="3"/>
  <c r="AB89" i="3" s="1"/>
  <c r="C89" i="3"/>
  <c r="A89" i="3"/>
  <c r="AK88" i="3"/>
  <c r="AA88" i="3"/>
  <c r="AB88" i="3" s="1"/>
  <c r="C88" i="3"/>
  <c r="A88" i="3"/>
  <c r="AK87" i="3"/>
  <c r="AA87" i="3"/>
  <c r="AB87" i="3" s="1"/>
  <c r="C87" i="3"/>
  <c r="A87" i="3"/>
  <c r="AK86" i="3"/>
  <c r="AA86" i="3"/>
  <c r="AB86" i="3" s="1"/>
  <c r="C86" i="3"/>
  <c r="A86" i="3"/>
  <c r="AK85" i="3"/>
  <c r="AA85" i="3"/>
  <c r="AB85" i="3" s="1"/>
  <c r="C85" i="3"/>
  <c r="A85" i="3"/>
  <c r="AK84" i="3"/>
  <c r="AA84" i="3"/>
  <c r="AB84" i="3" s="1"/>
  <c r="C84" i="3"/>
  <c r="A84" i="3"/>
  <c r="AK83" i="3"/>
  <c r="AA83" i="3"/>
  <c r="AB83" i="3" s="1"/>
  <c r="C83" i="3"/>
  <c r="A83" i="3"/>
  <c r="AK82" i="3"/>
  <c r="AA82" i="3"/>
  <c r="AB82" i="3" s="1"/>
  <c r="C82" i="3"/>
  <c r="A82" i="3"/>
  <c r="AK81" i="3"/>
  <c r="AA81" i="3"/>
  <c r="AB81" i="3" s="1"/>
  <c r="C81" i="3"/>
  <c r="A81" i="3"/>
  <c r="AK80" i="3"/>
  <c r="AA80" i="3"/>
  <c r="AB80" i="3" s="1"/>
  <c r="C80" i="3"/>
  <c r="A80" i="3"/>
  <c r="AK79" i="3"/>
  <c r="AA79" i="3"/>
  <c r="AB79" i="3" s="1"/>
  <c r="C79" i="3"/>
  <c r="A79" i="3"/>
  <c r="AK78" i="3"/>
  <c r="AA78" i="3"/>
  <c r="AB78" i="3" s="1"/>
  <c r="C78" i="3"/>
  <c r="A78" i="3"/>
  <c r="AK77" i="3"/>
  <c r="AA77" i="3"/>
  <c r="AB77" i="3" s="1"/>
  <c r="C77" i="3"/>
  <c r="A77" i="3"/>
  <c r="AK76" i="3"/>
  <c r="AA76" i="3"/>
  <c r="AB76" i="3" s="1"/>
  <c r="C76" i="3"/>
  <c r="A76" i="3"/>
  <c r="AK75" i="3"/>
  <c r="AA75" i="3"/>
  <c r="AB75" i="3" s="1"/>
  <c r="C75" i="3"/>
  <c r="A75" i="3"/>
  <c r="AK74" i="3"/>
  <c r="AA74" i="3"/>
  <c r="AB74" i="3" s="1"/>
  <c r="C74" i="3"/>
  <c r="A74" i="3"/>
  <c r="AK73" i="3"/>
  <c r="AA73" i="3"/>
  <c r="AB73" i="3" s="1"/>
  <c r="C73" i="3"/>
  <c r="A73" i="3"/>
  <c r="AK72" i="3"/>
  <c r="AA72" i="3"/>
  <c r="AB72" i="3" s="1"/>
  <c r="C72" i="3"/>
  <c r="A72" i="3"/>
  <c r="AK71" i="3"/>
  <c r="AA71" i="3"/>
  <c r="AB71" i="3" s="1"/>
  <c r="C71" i="3"/>
  <c r="A71" i="3"/>
  <c r="AK70" i="3"/>
  <c r="AA70" i="3"/>
  <c r="AB70" i="3" s="1"/>
  <c r="C70" i="3"/>
  <c r="A70" i="3"/>
  <c r="AK69" i="3"/>
  <c r="AA69" i="3"/>
  <c r="AB69" i="3" s="1"/>
  <c r="C69" i="3"/>
  <c r="A69" i="3"/>
  <c r="AK68" i="3"/>
  <c r="AA68" i="3"/>
  <c r="AB68" i="3" s="1"/>
  <c r="C68" i="3"/>
  <c r="A68" i="3"/>
  <c r="AK67" i="3"/>
  <c r="AA67" i="3"/>
  <c r="AB67" i="3" s="1"/>
  <c r="C67" i="3"/>
  <c r="A67" i="3"/>
  <c r="AK66" i="3"/>
  <c r="AA66" i="3"/>
  <c r="AB66" i="3" s="1"/>
  <c r="C66" i="3"/>
  <c r="A66" i="3"/>
  <c r="AK65" i="3"/>
  <c r="AA65" i="3"/>
  <c r="AB65" i="3" s="1"/>
  <c r="C65" i="3"/>
  <c r="A65" i="3"/>
  <c r="AK64" i="3"/>
  <c r="AA64" i="3"/>
  <c r="AB64" i="3" s="1"/>
  <c r="C64" i="3"/>
  <c r="A64" i="3"/>
  <c r="AK63" i="3"/>
  <c r="AA63" i="3"/>
  <c r="AB63" i="3" s="1"/>
  <c r="C63" i="3"/>
  <c r="A63" i="3"/>
  <c r="AK62" i="3"/>
  <c r="AA62" i="3"/>
  <c r="AB62" i="3" s="1"/>
  <c r="C62" i="3"/>
  <c r="A62" i="3"/>
  <c r="AK61" i="3"/>
  <c r="AA61" i="3"/>
  <c r="AB61" i="3" s="1"/>
  <c r="C61" i="3"/>
  <c r="A61" i="3"/>
  <c r="AK60" i="3"/>
  <c r="AA60" i="3"/>
  <c r="AB60" i="3" s="1"/>
  <c r="C60" i="3"/>
  <c r="A60" i="3"/>
  <c r="AK59" i="3"/>
  <c r="AA59" i="3"/>
  <c r="AB59" i="3" s="1"/>
  <c r="C59" i="3"/>
  <c r="A59" i="3"/>
  <c r="AK58" i="3"/>
  <c r="AA58" i="3"/>
  <c r="AB58" i="3" s="1"/>
  <c r="C58" i="3"/>
  <c r="A58" i="3"/>
  <c r="AK57" i="3"/>
  <c r="AA57" i="3"/>
  <c r="AB57" i="3" s="1"/>
  <c r="C57" i="3"/>
  <c r="A57" i="3"/>
  <c r="AK56" i="3"/>
  <c r="AA56" i="3"/>
  <c r="AB56" i="3" s="1"/>
  <c r="C56" i="3"/>
  <c r="A56" i="3"/>
  <c r="AK55" i="3"/>
  <c r="AA55" i="3"/>
  <c r="AB55" i="3" s="1"/>
  <c r="C55" i="3"/>
  <c r="A55" i="3"/>
  <c r="AK54" i="3"/>
  <c r="AA54" i="3"/>
  <c r="AB54" i="3" s="1"/>
  <c r="C54" i="3"/>
  <c r="A54" i="3"/>
  <c r="AK53" i="3"/>
  <c r="AA53" i="3"/>
  <c r="AB53" i="3" s="1"/>
  <c r="C53" i="3"/>
  <c r="A53" i="3"/>
  <c r="AK52" i="3"/>
  <c r="AA52" i="3"/>
  <c r="AB52" i="3" s="1"/>
  <c r="C52" i="3"/>
  <c r="A52" i="3"/>
  <c r="AK51" i="3"/>
  <c r="AA51" i="3"/>
  <c r="AB51" i="3" s="1"/>
  <c r="C51" i="3"/>
  <c r="A51" i="3"/>
  <c r="AK50" i="3"/>
  <c r="AA50" i="3"/>
  <c r="AB50" i="3" s="1"/>
  <c r="C50" i="3"/>
  <c r="A50" i="3"/>
  <c r="AK49" i="3"/>
  <c r="AA49" i="3"/>
  <c r="AB49" i="3" s="1"/>
  <c r="C49" i="3"/>
  <c r="A49" i="3"/>
  <c r="AK48" i="3"/>
  <c r="AA48" i="3"/>
  <c r="AB48" i="3" s="1"/>
  <c r="C48" i="3"/>
  <c r="A48" i="3"/>
  <c r="AK47" i="3"/>
  <c r="AA47" i="3"/>
  <c r="AB47" i="3" s="1"/>
  <c r="C47" i="3"/>
  <c r="A47" i="3"/>
  <c r="AK46" i="3"/>
  <c r="AA46" i="3"/>
  <c r="AB46" i="3" s="1"/>
  <c r="C46" i="3"/>
  <c r="A46" i="3"/>
  <c r="AK45" i="3"/>
  <c r="AA45" i="3"/>
  <c r="AB45" i="3" s="1"/>
  <c r="C45" i="3"/>
  <c r="A45" i="3"/>
  <c r="AK44" i="3"/>
  <c r="AA44" i="3"/>
  <c r="AB44" i="3" s="1"/>
  <c r="C44" i="3"/>
  <c r="A44" i="3"/>
  <c r="AK43" i="3"/>
  <c r="AA43" i="3"/>
  <c r="AB43" i="3" s="1"/>
  <c r="C43" i="3"/>
  <c r="A43" i="3"/>
  <c r="AK42" i="3"/>
  <c r="AA42" i="3"/>
  <c r="AB42" i="3" s="1"/>
  <c r="C42" i="3"/>
  <c r="A42" i="3"/>
  <c r="AK41" i="3"/>
  <c r="AA41" i="3"/>
  <c r="AB41" i="3" s="1"/>
  <c r="C41" i="3"/>
  <c r="A41" i="3"/>
  <c r="AK40" i="3"/>
  <c r="AA40" i="3"/>
  <c r="AB40" i="3" s="1"/>
  <c r="C40" i="3"/>
  <c r="A40" i="3"/>
  <c r="AK39" i="3"/>
  <c r="AA39" i="3"/>
  <c r="AB39" i="3" s="1"/>
  <c r="C39" i="3"/>
  <c r="A39" i="3"/>
  <c r="AK38" i="3"/>
  <c r="AA38" i="3"/>
  <c r="AB38" i="3" s="1"/>
  <c r="C38" i="3"/>
  <c r="A38" i="3"/>
  <c r="AK37" i="3"/>
  <c r="AA37" i="3"/>
  <c r="AB37" i="3" s="1"/>
  <c r="C37" i="3"/>
  <c r="A37" i="3"/>
  <c r="AK36" i="3"/>
  <c r="AA36" i="3"/>
  <c r="AB36" i="3" s="1"/>
  <c r="C36" i="3"/>
  <c r="A36" i="3"/>
  <c r="AK35" i="3"/>
  <c r="AA35" i="3"/>
  <c r="AB35" i="3" s="1"/>
  <c r="C35" i="3"/>
  <c r="A35" i="3"/>
  <c r="AK34" i="3"/>
  <c r="AA34" i="3"/>
  <c r="AB34" i="3" s="1"/>
  <c r="C34" i="3"/>
  <c r="A34" i="3"/>
  <c r="AK33" i="3"/>
  <c r="AA33" i="3"/>
  <c r="AB33" i="3" s="1"/>
  <c r="C33" i="3"/>
  <c r="A33" i="3"/>
  <c r="AK32" i="3"/>
  <c r="AA32" i="3"/>
  <c r="AB32" i="3" s="1"/>
  <c r="C32" i="3"/>
  <c r="A32" i="3"/>
  <c r="AK31" i="3"/>
  <c r="AA31" i="3"/>
  <c r="AB31" i="3" s="1"/>
  <c r="C31" i="3"/>
  <c r="A31" i="3"/>
  <c r="AK30" i="3"/>
  <c r="AA30" i="3"/>
  <c r="AB30" i="3" s="1"/>
  <c r="C30" i="3"/>
  <c r="A30" i="3"/>
  <c r="AK29" i="3"/>
  <c r="AA29" i="3"/>
  <c r="AB29" i="3" s="1"/>
  <c r="C29" i="3"/>
  <c r="A29" i="3"/>
  <c r="AK28" i="3"/>
  <c r="AA28" i="3"/>
  <c r="AB28" i="3" s="1"/>
  <c r="C28" i="3"/>
  <c r="A28" i="3"/>
  <c r="AK27" i="3"/>
  <c r="AA27" i="3"/>
  <c r="AB27" i="3" s="1"/>
  <c r="C27" i="3"/>
  <c r="A27" i="3"/>
  <c r="AK26" i="3"/>
  <c r="AA26" i="3"/>
  <c r="AB26" i="3" s="1"/>
  <c r="C26" i="3"/>
  <c r="A26" i="3"/>
  <c r="AK25" i="3"/>
  <c r="AA25" i="3"/>
  <c r="AB25" i="3" s="1"/>
  <c r="C25" i="3"/>
  <c r="A25" i="3"/>
  <c r="AK24" i="3"/>
  <c r="AA24" i="3"/>
  <c r="AB24" i="3" s="1"/>
  <c r="C24" i="3"/>
  <c r="A24" i="3"/>
  <c r="AK23" i="3"/>
  <c r="AA23" i="3"/>
  <c r="AB23" i="3" s="1"/>
  <c r="C23" i="3"/>
  <c r="A23" i="3"/>
  <c r="AK22" i="3"/>
  <c r="AA22" i="3"/>
  <c r="AB22" i="3" s="1"/>
  <c r="C22" i="3"/>
  <c r="A22" i="3"/>
  <c r="AK21" i="3"/>
  <c r="AA21" i="3"/>
  <c r="AB21" i="3" s="1"/>
  <c r="C21" i="3"/>
  <c r="A21" i="3"/>
  <c r="AK20" i="3"/>
  <c r="AA20" i="3"/>
  <c r="AB20" i="3" s="1"/>
  <c r="C20" i="3"/>
  <c r="A20" i="3"/>
  <c r="AK19" i="3"/>
  <c r="AA19" i="3"/>
  <c r="AB19" i="3" s="1"/>
  <c r="C19" i="3"/>
  <c r="A19" i="3"/>
  <c r="AK18" i="3"/>
  <c r="AA18" i="3"/>
  <c r="AB18" i="3" s="1"/>
  <c r="C18" i="3"/>
  <c r="A18" i="3"/>
  <c r="AK17" i="3"/>
  <c r="AA17" i="3"/>
  <c r="AB17" i="3" s="1"/>
  <c r="C17" i="3"/>
  <c r="A17" i="3"/>
  <c r="AK16" i="3"/>
  <c r="AA16" i="3"/>
  <c r="AB16" i="3" s="1"/>
  <c r="C16" i="3"/>
  <c r="A16" i="3"/>
  <c r="AK15" i="3"/>
  <c r="AA15" i="3"/>
  <c r="AB15" i="3" s="1"/>
  <c r="C15" i="3"/>
  <c r="A15" i="3"/>
  <c r="AK14" i="3"/>
  <c r="AA14" i="3"/>
  <c r="AB14" i="3" s="1"/>
  <c r="C14" i="3"/>
  <c r="A14" i="3"/>
  <c r="AK13" i="3"/>
  <c r="AA13" i="3"/>
  <c r="AB13" i="3" s="1"/>
  <c r="C13" i="3"/>
  <c r="A13" i="3"/>
  <c r="AK12" i="3"/>
  <c r="AA12" i="3"/>
  <c r="AB12" i="3" s="1"/>
  <c r="C12" i="3"/>
  <c r="A12" i="3"/>
  <c r="AK11" i="3"/>
  <c r="AA11" i="3"/>
  <c r="AB11" i="3" s="1"/>
  <c r="C11" i="3"/>
  <c r="A11" i="3"/>
  <c r="AK10" i="3"/>
  <c r="AA10" i="3"/>
  <c r="AB10" i="3" s="1"/>
  <c r="C10" i="3"/>
  <c r="A10" i="3"/>
  <c r="AK9" i="3"/>
  <c r="AA9" i="3"/>
  <c r="AB9" i="3" s="1"/>
  <c r="C9" i="3"/>
  <c r="A9" i="3"/>
  <c r="AK8" i="3"/>
  <c r="AA8" i="3"/>
  <c r="AB8" i="3" s="1"/>
  <c r="C8" i="3"/>
  <c r="A8" i="3"/>
  <c r="AK7" i="3"/>
  <c r="AA7" i="3"/>
  <c r="AB7" i="3" s="1"/>
  <c r="C7" i="3"/>
  <c r="A7" i="3"/>
  <c r="AK6" i="3"/>
  <c r="AA6" i="3"/>
  <c r="AB6" i="3" s="1"/>
  <c r="C6" i="3"/>
  <c r="A6" i="3"/>
  <c r="M7" i="4" l="1"/>
</calcChain>
</file>

<file path=xl/sharedStrings.xml><?xml version="1.0" encoding="utf-8"?>
<sst xmlns="http://schemas.openxmlformats.org/spreadsheetml/2006/main" count="205" uniqueCount="169">
  <si>
    <t>À FAIRE</t>
  </si>
  <si>
    <t>Pour que le tableau de bord se remplisse : renseignez au minimum une date, une plateforme, le statut « Publiée » et au moins un résultat.</t>
  </si>
  <si>
    <t>Étape</t>
  </si>
  <si>
    <t>Ce que vous devez faire</t>
  </si>
  <si>
    <t>Où ?</t>
  </si>
  <si>
    <t>Résultat</t>
  </si>
  <si>
    <t>1</t>
  </si>
  <si>
    <t>Renseignez le coût horaire interne. Il sert uniquement à calculer le coût total de chaque publication.</t>
  </si>
  <si>
    <t>Le coût total pourra être calculé.</t>
  </si>
  <si>
    <t>2</t>
  </si>
  <si>
    <t>Avant de publier, complétez les cellules jaunes d’une ligne : date, plateforme, statut, objectif, contenu et contrôle.</t>
  </si>
  <si>
    <t>La publication est planifiée.</t>
  </si>
  <si>
    <t>3</t>
  </si>
  <si>
    <t>Après la publication, complétez les cellules bleues : lien, statistiques, contacts, rendez-vous, chiffre d’affaires, temps et coût externe.</t>
  </si>
  <si>
    <t>Même ligne du Calendrier éditorial</t>
  </si>
  <si>
    <t>Les résultats sont centralisés.</t>
  </si>
  <si>
    <t>4</t>
  </si>
  <si>
    <t>Passez le statut à « Publiée ». Sans ce statut, la publication n’est pas comptée dans le tableau de bord.</t>
  </si>
  <si>
    <t>Colonne E du Calendrier éditorial</t>
  </si>
  <si>
    <t>Le tableau de bord se met à jour.</t>
  </si>
  <si>
    <t>5</t>
  </si>
  <si>
    <t>Choisissez une plateforme et un mois dans les deux listes situées en haut du tableau de bord.</t>
  </si>
  <si>
    <t>Les indicateurs sont filtrés.</t>
  </si>
  <si>
    <t>6</t>
  </si>
  <si>
    <t>Quand plusieurs publications sont renseignées, notez ce qui doit être reproduit, ajusté ou abandonné.</t>
  </si>
  <si>
    <t>Colonnes AL à AN du Calendrier éditorial</t>
  </si>
  <si>
    <t>La communication est améliorée.</t>
  </si>
  <si>
    <t>Quand ?</t>
  </si>
  <si>
    <t>Cellules à remplir</t>
  </si>
  <si>
    <t>Obligatoire pour le dashboard ?</t>
  </si>
  <si>
    <t>Couleur</t>
  </si>
  <si>
    <t>Avant publication</t>
  </si>
  <si>
    <t>Date, plateforme, statut, objectif SMART, indicateurs de mesure, type, thème, étape, méthode, format, sujet, message, appel à l’action, contrôle et programmation.</t>
  </si>
  <si>
    <t>Date + plateforme + statut</t>
  </si>
  <si>
    <t>Jaune</t>
  </si>
  <si>
    <t>Après publication</t>
  </si>
  <si>
    <t>Lien et statistiques disponibles : impressions, portée, vues, clics, réactions, commentaires, partages, enregistrements, abonnés, messages, contacts, rendez-vous, mission, CA, temps et coûts.</t>
  </si>
  <si>
    <t>Au moins un résultat</t>
  </si>
  <si>
    <t>Bleu</t>
  </si>
  <si>
    <t>Analyse</t>
  </si>
  <si>
    <t>Analyse, action corrective et statut d’optimisation.</t>
  </si>
  <si>
    <t>Non</t>
  </si>
  <si>
    <t>Vert</t>
  </si>
  <si>
    <t>Automatique</t>
  </si>
  <si>
    <t>ID, mois, engagement total, taux d’engagement et coût total.</t>
  </si>
  <si>
    <t>Ne rien saisir</t>
  </si>
  <si>
    <t>Gris</t>
  </si>
  <si>
    <t>EXEMPLE MINIMAL</t>
  </si>
  <si>
    <t>Date : 15/09/2026</t>
  </si>
  <si>
    <t>Plateforme : Facebook</t>
  </si>
  <si>
    <t>Statut : Publiée</t>
  </si>
  <si>
    <t>Résultats à saisir</t>
  </si>
  <si>
    <t>Par exemple : Impressions = 1 000 ; Portée = 800 ; J’aime = 40 ; Commentaires = 5 ; Partages = 3 ; Prises de contact = 2.</t>
  </si>
  <si>
    <t>SI TOUT RESTE À ZÉRO</t>
  </si>
  <si>
    <t>Vérifiez d’abord que le statut de la ligne est exactement « Publiée » et que les résultats ont été saisis comme nombres.</t>
  </si>
  <si>
    <t>PARAMÈTRES</t>
  </si>
  <si>
    <t>Paramètre</t>
  </si>
  <si>
    <t>Valeur</t>
  </si>
  <si>
    <t>Coût horaire interne (€ / heure)</t>
  </si>
  <si>
    <t>Comment l’utiliser ?</t>
  </si>
  <si>
    <t>Remplacez 0 par votre coût horaire. Le coût total = temps de production × coût horaire + coût externe.</t>
  </si>
  <si>
    <t>DÉMARRAGE</t>
  </si>
  <si>
    <t>Commencez à la ligne 6. Pour alimenter le tableau de bord : Date + Plateforme + Statut « Publiée » + au moins un résultat.</t>
  </si>
  <si>
    <t>CODE COULEUR</t>
  </si>
  <si>
    <t>Jaune : avant publication | Bleu : après publication | Gris : calcul automatique | Vert : analyse.</t>
  </si>
  <si>
    <t>IDENTIFICATION</t>
  </si>
  <si>
    <t>AVANT PUBLICATION</t>
  </si>
  <si>
    <t>APRÈS PUBLICATION</t>
  </si>
  <si>
    <t>ANALYSE</t>
  </si>
  <si>
    <t>ID</t>
  </si>
  <si>
    <t>Date publication</t>
  </si>
  <si>
    <t>Mois</t>
  </si>
  <si>
    <t>Plateforme</t>
  </si>
  <si>
    <t>Statut</t>
  </si>
  <si>
    <t>Objectif SMART</t>
  </si>
  <si>
    <t>Indicateurs de mesure</t>
  </si>
  <si>
    <t>Type contenu</t>
  </si>
  <si>
    <t>Thématique</t>
  </si>
  <si>
    <t>Étape See–Think–Do</t>
  </si>
  <si>
    <t>Méthode de création</t>
  </si>
  <si>
    <t>Format</t>
  </si>
  <si>
    <t>Sujet</t>
  </si>
  <si>
    <t>Message clé</t>
  </si>
  <si>
    <t>Appel à l’action</t>
  </si>
  <si>
    <t>Contrôle effectué</t>
  </si>
  <si>
    <t>Date programmation</t>
  </si>
  <si>
    <t>Lien publication</t>
  </si>
  <si>
    <t>Impressions</t>
  </si>
  <si>
    <t>Portée</t>
  </si>
  <si>
    <t>Vues</t>
  </si>
  <si>
    <t>Clics</t>
  </si>
  <si>
    <t>J’aime</t>
  </si>
  <si>
    <t>Commentaires</t>
  </si>
  <si>
    <t>Partages</t>
  </si>
  <si>
    <t>Enregistrements</t>
  </si>
  <si>
    <t>Engagement total</t>
  </si>
  <si>
    <t>Taux d’engagement</t>
  </si>
  <si>
    <t>Nouveaux abonnés</t>
  </si>
  <si>
    <t>Messages privés</t>
  </si>
  <si>
    <t>Prises de contact</t>
  </si>
  <si>
    <t>Rendez-vous</t>
  </si>
  <si>
    <t>Mission signée</t>
  </si>
  <si>
    <t>CA généré</t>
  </si>
  <si>
    <t>Temps production (h)</t>
  </si>
  <si>
    <t>Coût externe</t>
  </si>
  <si>
    <t>Coût total</t>
  </si>
  <si>
    <t>Action corrective</t>
  </si>
  <si>
    <t>Statut optimisation</t>
  </si>
  <si>
    <t>Toutes</t>
  </si>
  <si>
    <t>Tous</t>
  </si>
  <si>
    <t>CONDITION</t>
  </si>
  <si>
    <t>Le tableau de bord comptabilise uniquement les lignes dont le statut est « Publiée ».</t>
  </si>
  <si>
    <t>Publications</t>
  </si>
  <si>
    <t>Engagement</t>
  </si>
  <si>
    <t>Missions signées</t>
  </si>
  <si>
    <t>Temps de production</t>
  </si>
  <si>
    <t>RÉSULTATS PAR PLATEFORME</t>
  </si>
  <si>
    <t>Contacts</t>
  </si>
  <si>
    <t>Facebook</t>
  </si>
  <si>
    <t>Post texte</t>
  </si>
  <si>
    <t>Instagram</t>
  </si>
  <si>
    <t>Texte + visuel</t>
  </si>
  <si>
    <t>TikTok</t>
  </si>
  <si>
    <t>Plusieurs images</t>
  </si>
  <si>
    <t>YouTube</t>
  </si>
  <si>
    <t>Reel / vidéo courte</t>
  </si>
  <si>
    <t>Story</t>
  </si>
  <si>
    <t>Live</t>
  </si>
  <si>
    <t>GLOSSAIRE DES INDICATEURS</t>
  </si>
  <si>
    <t>Indicateur</t>
  </si>
  <si>
    <t>Ce qu’il mesure</t>
  </si>
  <si>
    <t>Où le saisir</t>
  </si>
  <si>
    <t>À retenir</t>
  </si>
  <si>
    <t>Nombre total d’affichages du contenu.</t>
  </si>
  <si>
    <t>Colonne S</t>
  </si>
  <si>
    <t>Une même personne peut générer plusieurs impressions.</t>
  </si>
  <si>
    <t>Nombre estimé de personnes ayant vu le contenu.</t>
  </si>
  <si>
    <t>Colonne T</t>
  </si>
  <si>
    <t>Utilisée comme base du taux d’engagement dans ce fichier.</t>
  </si>
  <si>
    <t>Somme des J’aime, commentaires, partages et enregistrements.</t>
  </si>
  <si>
    <t>Ne rien saisir dans cette colonne.</t>
  </si>
  <si>
    <t>Engagement total divisé par la portée.</t>
  </si>
  <si>
    <t>Demandes attribuées à la communication.</t>
  </si>
  <si>
    <t>Colonne AE</t>
  </si>
  <si>
    <t>Renseigner seulement lorsqu’un lien est raisonnablement établi.</t>
  </si>
  <si>
    <t>Rendez-vous obtenus à la suite de la communication.</t>
  </si>
  <si>
    <t>Colonne AF</t>
  </si>
  <si>
    <t>Indiquer un nombre.</t>
  </si>
  <si>
    <t>Indique si une mission a été signée.</t>
  </si>
  <si>
    <t>Colonne AG</t>
  </si>
  <si>
    <t>Choisir Oui ou Non.</t>
  </si>
  <si>
    <t>Chiffre d’affaires généré et attribué à la communication.</t>
  </si>
  <si>
    <t>Colonne AH</t>
  </si>
  <si>
    <t>Ne pas le considérer comme l’unique mesure de performance.</t>
  </si>
  <si>
    <t>Temps réellement consacré au contenu.</t>
  </si>
  <si>
    <t>Colonne AI</t>
  </si>
  <si>
    <t>Saisir en heures, par exemple 1,5.</t>
  </si>
  <si>
    <t>Temps × coût horaire interne + coût externe.</t>
  </si>
  <si>
    <t>Le coût horaire se renseigne dans Paramètres.</t>
  </si>
  <si>
    <t>MODE D’EMPLOI DU CALENDRIER ÉDITORIAL</t>
  </si>
  <si>
    <t>Paramètres - cellule B4</t>
  </si>
  <si>
    <t>Calendrier éditorial - à partir de la ligne 6</t>
  </si>
  <si>
    <t>Tableau de bord - cellules C2 et G2</t>
  </si>
  <si>
    <t>CALENDRIER ÉDITORIAL (UNE LIGNE = UNE PUBLICATION)</t>
  </si>
  <si>
    <t>TABLEAU DE BORD</t>
  </si>
  <si>
    <t>Il est possible de créer autant d'indicateur que possible pour l'analyse</t>
  </si>
  <si>
    <t>Colonne AA - automatique</t>
  </si>
  <si>
    <t>Colonne AB - automatique</t>
  </si>
  <si>
    <t>Colonne AK - automatique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</si>
</sst>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\ &quot;€&quot;"/>
    <numFmt numFmtId="165" formatCode="0.0%"/>
    <numFmt numFmtId="166" formatCode="#,##0.00\ &quot;€&quot;"/>
    <numFmt numFmtId="167" formatCode="0.00\ &quot;h&quot;"/>
  </numFmts>
  <fonts count="24">
    <font>
      <sz val="11"/>
      <name val="Carlito"/>
    </font>
    <font>
      <b/>
      <sz val="11"/>
      <color rgb="FF1F2937"/>
      <name val="Carlito"/>
    </font>
    <font>
      <b/>
      <sz val="11"/>
      <color rgb="FF2F80ED"/>
      <name val="Carlito"/>
    </font>
    <font>
      <b/>
      <sz val="11"/>
      <color rgb="FF1F2937"/>
      <name val="Aptos"/>
    </font>
    <font>
      <sz val="11"/>
      <color rgb="FF1F2937"/>
      <name val="Aptos"/>
    </font>
    <font>
      <i/>
      <sz val="11"/>
      <color rgb="FF1F2937"/>
      <name val="Carlito"/>
    </font>
    <font>
      <b/>
      <sz val="9"/>
      <color rgb="FFFFFFFF"/>
      <name val="Carlito"/>
    </font>
    <font>
      <b/>
      <sz val="10"/>
      <color rgb="FF1F2937"/>
      <name val="Aptos"/>
    </font>
    <font>
      <sz val="10"/>
      <color rgb="FF1F2937"/>
      <name val="Aptos"/>
    </font>
    <font>
      <b/>
      <sz val="10"/>
      <color rgb="FFFFFFFF"/>
      <name val="Aptos"/>
    </font>
    <font>
      <b/>
      <sz val="11"/>
      <color rgb="FFD97706"/>
      <name val="Aptos"/>
    </font>
    <font>
      <b/>
      <sz val="11"/>
      <color rgb="FF2E7D32"/>
      <name val="Aptos"/>
    </font>
    <font>
      <b/>
      <sz val="11"/>
      <color rgb="FF9B1C1C"/>
      <name val="Aptos"/>
    </font>
    <font>
      <b/>
      <sz val="18"/>
      <color rgb="FFFFFFFF"/>
      <name val="Aptos Display"/>
    </font>
    <font>
      <b/>
      <i/>
      <sz val="11"/>
      <color rgb="FF1F2937"/>
      <name val="Carlito"/>
    </font>
    <font>
      <b/>
      <sz val="17"/>
      <color rgb="FFFFFFFF"/>
      <name val="Aptos Display"/>
    </font>
    <font>
      <b/>
      <sz val="10"/>
      <color rgb="FFD97706"/>
      <name val="Aptos"/>
    </font>
    <font>
      <b/>
      <sz val="16"/>
      <color rgb="FFFFFFFF"/>
      <name val="Aptos Display"/>
    </font>
    <font>
      <b/>
      <sz val="11"/>
      <color rgb="FFFFFFFF"/>
      <name val="Aptos"/>
    </font>
    <font>
      <b/>
      <sz val="12"/>
      <color rgb="FFFFFFFF"/>
      <name val="Aptos"/>
    </font>
    <font>
      <b/>
      <sz val="12"/>
      <color rgb="FF9B1C1C"/>
      <name val="Aptos"/>
    </font>
    <font>
      <sz val="12"/>
      <color rgb="FF1F2937"/>
      <name val="Aptos"/>
    </font>
    <font>
      <b/>
      <sz val="12"/>
      <color rgb="FF1F2937"/>
      <name val="Aptos"/>
    </font>
    <font>
      <b/>
      <sz val="14"/>
      <color rgb="FF2E7D32"/>
      <name val="Aptos"/>
    </font>
  </fonts>
  <fills count="12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CC"/>
      </patternFill>
    </fill>
    <fill>
      <patternFill patternType="solid">
        <fgColor rgb="FF2F80ED"/>
      </patternFill>
    </fill>
    <fill>
      <patternFill patternType="solid">
        <fgColor rgb="FFEAF3FF"/>
      </patternFill>
    </fill>
    <fill>
      <patternFill patternType="solid">
        <fgColor rgb="FFEAF7EF"/>
      </patternFill>
    </fill>
    <fill>
      <patternFill patternType="solid">
        <fgColor rgb="FFECEFF3"/>
      </patternFill>
    </fill>
    <fill>
      <patternFill patternType="solid">
        <fgColor rgb="FFF4F6F8"/>
      </patternFill>
    </fill>
    <fill>
      <patternFill patternType="solid">
        <fgColor rgb="FFFDECEC"/>
      </patternFill>
    </fill>
    <fill>
      <patternFill patternType="solid">
        <fgColor rgb="FFF7F8FA"/>
      </patternFill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0B400"/>
      </bottom>
      <diagonal/>
    </border>
    <border>
      <left/>
      <right/>
      <top/>
      <bottom style="thin">
        <color rgb="FFE0B400"/>
      </bottom>
      <diagonal/>
    </border>
    <border>
      <left/>
      <right style="thin">
        <color rgb="FFEEF0F3"/>
      </right>
      <top/>
      <bottom/>
      <diagonal/>
    </border>
    <border>
      <left/>
      <right/>
      <top/>
      <bottom style="thin">
        <color rgb="FFD9DEE5"/>
      </bottom>
      <diagonal/>
    </border>
    <border>
      <left/>
      <right style="thin">
        <color rgb="FFEEF0F3"/>
      </right>
      <top/>
      <bottom style="thin">
        <color rgb="FFD9DEE5"/>
      </bottom>
      <diagonal/>
    </border>
    <border>
      <left style="thin">
        <color rgb="FFD6DCE3"/>
      </left>
      <right/>
      <top style="thin">
        <color rgb="FFD6DCE3"/>
      </top>
      <bottom/>
      <diagonal/>
    </border>
    <border>
      <left/>
      <right/>
      <top style="thin">
        <color rgb="FFD6DCE3"/>
      </top>
      <bottom/>
      <diagonal/>
    </border>
    <border>
      <left/>
      <right style="thin">
        <color rgb="FFD6DCE3"/>
      </right>
      <top style="thin">
        <color rgb="FFD6DCE3"/>
      </top>
      <bottom/>
      <diagonal/>
    </border>
    <border>
      <left style="thin">
        <color rgb="FFD6DCE3"/>
      </left>
      <right/>
      <top/>
      <bottom/>
      <diagonal/>
    </border>
    <border>
      <left/>
      <right style="thin">
        <color rgb="FFD6DCE3"/>
      </right>
      <top/>
      <bottom/>
      <diagonal/>
    </border>
    <border>
      <left style="thin">
        <color rgb="FFD6DCE3"/>
      </left>
      <right/>
      <top/>
      <bottom style="thin">
        <color rgb="FFD6DCE3"/>
      </bottom>
      <diagonal/>
    </border>
    <border>
      <left/>
      <right/>
      <top/>
      <bottom style="thin">
        <color rgb="FFD6DCE3"/>
      </bottom>
      <diagonal/>
    </border>
    <border>
      <left/>
      <right style="thin">
        <color rgb="FFD6DCE3"/>
      </right>
      <top/>
      <bottom style="thin">
        <color rgb="FFD6DCE3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5" borderId="0" xfId="0" applyFill="1" applyAlignment="1">
      <alignment wrapText="1"/>
    </xf>
    <xf numFmtId="0" fontId="4" fillId="2" borderId="0" xfId="0" applyFont="1" applyFill="1"/>
    <xf numFmtId="0" fontId="4" fillId="0" borderId="0" xfId="0" applyFont="1"/>
    <xf numFmtId="0" fontId="4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top"/>
    </xf>
    <xf numFmtId="0" fontId="3" fillId="5" borderId="0" xfId="0" applyFont="1" applyFill="1" applyAlignment="1">
      <alignment horizontal="center" vertical="top" wrapText="1"/>
    </xf>
    <xf numFmtId="0" fontId="3" fillId="4" borderId="0" xfId="0" applyFont="1" applyFill="1"/>
    <xf numFmtId="164" fontId="4" fillId="3" borderId="0" xfId="0" applyNumberFormat="1" applyFont="1" applyFill="1" applyAlignment="1">
      <alignment wrapText="1"/>
    </xf>
    <xf numFmtId="0" fontId="0" fillId="10" borderId="0" xfId="0" applyFill="1"/>
    <xf numFmtId="0" fontId="1" fillId="7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top" wrapText="1"/>
    </xf>
    <xf numFmtId="0" fontId="0" fillId="7" borderId="0" xfId="0" applyFill="1" applyAlignment="1">
      <alignment vertical="top" wrapText="1"/>
    </xf>
    <xf numFmtId="14" fontId="0" fillId="7" borderId="0" xfId="0" applyNumberFormat="1" applyFill="1" applyAlignment="1">
      <alignment vertical="top" wrapText="1"/>
    </xf>
    <xf numFmtId="0" fontId="0" fillId="3" borderId="0" xfId="0" applyFill="1" applyAlignment="1">
      <alignment vertical="top" wrapText="1"/>
    </xf>
    <xf numFmtId="14" fontId="0" fillId="3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165" fontId="0" fillId="5" borderId="0" xfId="0" applyNumberFormat="1" applyFill="1" applyAlignment="1">
      <alignment vertical="top" wrapText="1"/>
    </xf>
    <xf numFmtId="166" fontId="0" fillId="5" borderId="0" xfId="0" applyNumberFormat="1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66" fontId="0" fillId="7" borderId="0" xfId="0" applyNumberFormat="1" applyFill="1" applyAlignment="1">
      <alignment vertical="top" wrapText="1"/>
    </xf>
    <xf numFmtId="0" fontId="0" fillId="6" borderId="0" xfId="0" applyFill="1" applyAlignment="1">
      <alignment vertical="top" wrapText="1"/>
    </xf>
    <xf numFmtId="0" fontId="6" fillId="4" borderId="4" xfId="0" applyFont="1" applyFill="1" applyBorder="1" applyAlignment="1">
      <alignment horizontal="center" vertical="top" wrapText="1"/>
    </xf>
    <xf numFmtId="0" fontId="0" fillId="6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14" fontId="0" fillId="7" borderId="5" xfId="0" applyNumberFormat="1" applyFill="1" applyBorder="1" applyAlignment="1">
      <alignment vertical="top" wrapText="1"/>
    </xf>
    <xf numFmtId="0" fontId="0" fillId="3" borderId="5" xfId="0" applyFill="1" applyBorder="1" applyAlignment="1">
      <alignment vertical="top" wrapText="1"/>
    </xf>
    <xf numFmtId="14" fontId="0" fillId="3" borderId="5" xfId="0" applyNumberFormat="1" applyFill="1" applyBorder="1" applyAlignment="1">
      <alignment vertical="top" wrapText="1"/>
    </xf>
    <xf numFmtId="0" fontId="0" fillId="5" borderId="5" xfId="0" applyFill="1" applyBorder="1" applyAlignment="1">
      <alignment vertical="top" wrapText="1"/>
    </xf>
    <xf numFmtId="165" fontId="0" fillId="5" borderId="5" xfId="0" applyNumberFormat="1" applyFill="1" applyBorder="1" applyAlignment="1">
      <alignment vertical="top" wrapText="1"/>
    </xf>
    <xf numFmtId="166" fontId="0" fillId="5" borderId="5" xfId="0" applyNumberFormat="1" applyFill="1" applyBorder="1" applyAlignment="1">
      <alignment vertical="top" wrapText="1"/>
    </xf>
    <xf numFmtId="2" fontId="0" fillId="5" borderId="5" xfId="0" applyNumberFormat="1" applyFill="1" applyBorder="1" applyAlignment="1">
      <alignment vertical="top" wrapText="1"/>
    </xf>
    <xf numFmtId="166" fontId="0" fillId="7" borderId="5" xfId="0" applyNumberFormat="1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6" borderId="6" xfId="0" applyFill="1" applyBorder="1" applyAlignment="1">
      <alignment vertical="top" wrapText="1"/>
    </xf>
    <xf numFmtId="0" fontId="8" fillId="0" borderId="0" xfId="0" applyFont="1"/>
    <xf numFmtId="0" fontId="8" fillId="11" borderId="10" xfId="0" applyFont="1" applyFill="1" applyBorder="1"/>
    <xf numFmtId="0" fontId="8" fillId="11" borderId="0" xfId="0" applyFont="1" applyFill="1"/>
    <xf numFmtId="0" fontId="8" fillId="11" borderId="11" xfId="0" applyFont="1" applyFill="1" applyBorder="1"/>
    <xf numFmtId="1" fontId="7" fillId="11" borderId="12" xfId="0" applyNumberFormat="1" applyFont="1" applyFill="1" applyBorder="1"/>
    <xf numFmtId="0" fontId="8" fillId="11" borderId="13" xfId="0" applyFont="1" applyFill="1" applyBorder="1"/>
    <xf numFmtId="0" fontId="8" fillId="11" borderId="14" xfId="0" applyFont="1" applyFill="1" applyBorder="1"/>
    <xf numFmtId="3" fontId="7" fillId="11" borderId="12" xfId="0" applyNumberFormat="1" applyFont="1" applyFill="1" applyBorder="1"/>
    <xf numFmtId="165" fontId="7" fillId="11" borderId="12" xfId="0" applyNumberFormat="1" applyFont="1" applyFill="1" applyBorder="1"/>
    <xf numFmtId="166" fontId="7" fillId="11" borderId="12" xfId="0" applyNumberFormat="1" applyFont="1" applyFill="1" applyBorder="1"/>
    <xf numFmtId="167" fontId="7" fillId="11" borderId="12" xfId="0" applyNumberFormat="1" applyFont="1" applyFill="1" applyBorder="1"/>
    <xf numFmtId="166" fontId="8" fillId="0" borderId="0" xfId="0" applyNumberFormat="1" applyFont="1"/>
    <xf numFmtId="0" fontId="9" fillId="4" borderId="0" xfId="0" applyFont="1" applyFill="1"/>
    <xf numFmtId="0" fontId="17" fillId="2" borderId="0" xfId="0" applyFont="1" applyFill="1"/>
    <xf numFmtId="0" fontId="18" fillId="4" borderId="0" xfId="0" applyFont="1" applyFill="1" applyAlignment="1">
      <alignment horizontal="center" vertical="top" wrapText="1"/>
    </xf>
    <xf numFmtId="0" fontId="18" fillId="2" borderId="0" xfId="0" applyFont="1" applyFill="1" applyAlignment="1">
      <alignment horizontal="center" vertical="top" wrapText="1"/>
    </xf>
    <xf numFmtId="0" fontId="10" fillId="3" borderId="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20" fillId="9" borderId="0" xfId="0" applyFont="1" applyFill="1" applyAlignment="1">
      <alignment horizontal="center" vertical="center" wrapText="1"/>
    </xf>
    <xf numFmtId="0" fontId="21" fillId="6" borderId="0" xfId="0" applyFont="1" applyFill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vertical="center" wrapText="1"/>
    </xf>
    <xf numFmtId="0" fontId="14" fillId="10" borderId="0" xfId="0" applyFont="1" applyFill="1" applyAlignment="1">
      <alignment vertical="center"/>
    </xf>
    <xf numFmtId="0" fontId="5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9" fillId="2" borderId="0" xfId="0" applyFont="1" applyFill="1" applyAlignment="1">
      <alignment horizontal="center"/>
    </xf>
    <xf numFmtId="0" fontId="23" fillId="6" borderId="1" xfId="0" applyFont="1" applyFill="1" applyBorder="1" applyAlignment="1">
      <alignment horizontal="center" vertical="center" wrapText="1"/>
    </xf>
    <xf numFmtId="0" fontId="22" fillId="3" borderId="0" xfId="0" applyFont="1" applyFill="1" applyAlignment="1">
      <alignment horizontal="center" vertical="center"/>
    </xf>
    <xf numFmtId="0" fontId="22" fillId="5" borderId="0" xfId="0" applyFont="1" applyFill="1"/>
    <xf numFmtId="0" fontId="22" fillId="11" borderId="7" xfId="0" applyFont="1" applyFill="1" applyBorder="1"/>
    <xf numFmtId="0" fontId="21" fillId="11" borderId="8" xfId="0" applyFont="1" applyFill="1" applyBorder="1"/>
    <xf numFmtId="0" fontId="21" fillId="11" borderId="9" xfId="0" applyFont="1" applyFill="1" applyBorder="1"/>
    <xf numFmtId="0" fontId="17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4">
    <dxf>
      <font>
        <color rgb="FFB42318"/>
      </font>
      <fill>
        <patternFill patternType="solid">
          <bgColor rgb="FFFDE2E2"/>
        </patternFill>
      </fill>
    </dxf>
    <dxf>
      <font>
        <b/>
        <color rgb="FF2E7D32"/>
      </font>
      <fill>
        <patternFill patternType="solid">
          <bgColor rgb="FFDDF3E4"/>
        </patternFill>
      </fill>
    </dxf>
    <dxf>
      <font>
        <color rgb="FFB42318"/>
      </font>
      <fill>
        <patternFill patternType="solid">
          <bgColor rgb="FFFDE2E2"/>
        </patternFill>
      </fill>
    </dxf>
    <dxf>
      <font>
        <b/>
        <color rgb="FF2E7D32"/>
      </font>
      <fill>
        <patternFill patternType="solid"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r>
              <a:rPr lang="fr-FR"/>
              <a:t>Publications et portée par plateforme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Publications</c:v>
          </c:tx>
          <c:invertIfNegative val="1"/>
          <c:cat>
            <c:strRef>
              <c:f>'Tableau de bord'!$A$16:$A$19</c:f>
              <c:strCache>
                <c:ptCount val="4"/>
                <c:pt idx="0">
                  <c:v>Facebook</c:v>
                </c:pt>
                <c:pt idx="1">
                  <c:v>Instagram</c:v>
                </c:pt>
                <c:pt idx="2">
                  <c:v>TikTok</c:v>
                </c:pt>
                <c:pt idx="3">
                  <c:v>YouTube</c:v>
                </c:pt>
              </c:strCache>
            </c:strRef>
          </c:cat>
          <c:val>
            <c:numRef>
              <c:f>'Tableau de bord'!$B$16:$B$19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2D-F046-AD5A-8159FBDEA318}"/>
            </c:ext>
          </c:extLst>
        </c:ser>
        <c:ser>
          <c:idx val="1"/>
          <c:order val="1"/>
          <c:tx>
            <c:v>Portée</c:v>
          </c:tx>
          <c:invertIfNegative val="1"/>
          <c:cat>
            <c:strRef>
              <c:f>'Tableau de bord'!$A$16:$A$19</c:f>
              <c:strCache>
                <c:ptCount val="4"/>
                <c:pt idx="0">
                  <c:v>Facebook</c:v>
                </c:pt>
                <c:pt idx="1">
                  <c:v>Instagram</c:v>
                </c:pt>
                <c:pt idx="2">
                  <c:v>TikTok</c:v>
                </c:pt>
                <c:pt idx="3">
                  <c:v>YouTube</c:v>
                </c:pt>
              </c:strCache>
            </c:strRef>
          </c:cat>
          <c:val>
            <c:numRef>
              <c:f>'Tableau de bord'!$C$16:$C$19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2D-F046-AD5A-8159FBDEA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r>
              <a:rPr lang="fr-FR"/>
              <a:t>Contacts et chiffre d’affaires par plateforme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Contacts</c:v>
          </c:tx>
          <c:invertIfNegative val="1"/>
          <c:cat>
            <c:strRef>
              <c:f>'Tableau de bord'!$P$16:$P$19</c:f>
              <c:strCache>
                <c:ptCount val="4"/>
                <c:pt idx="0">
                  <c:v>Facebook</c:v>
                </c:pt>
                <c:pt idx="1">
                  <c:v>Instagram</c:v>
                </c:pt>
                <c:pt idx="2">
                  <c:v>TikTok</c:v>
                </c:pt>
                <c:pt idx="3">
                  <c:v>YouTube</c:v>
                </c:pt>
              </c:strCache>
            </c:strRef>
          </c:cat>
          <c:val>
            <c:numRef>
              <c:f>'Tableau de bord'!$Q$16:$Q$19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3-4149-B4AB-09EC7FD41FBD}"/>
            </c:ext>
          </c:extLst>
        </c:ser>
        <c:ser>
          <c:idx val="1"/>
          <c:order val="1"/>
          <c:tx>
            <c:v>CA généré</c:v>
          </c:tx>
          <c:invertIfNegative val="1"/>
          <c:cat>
            <c:strRef>
              <c:f>'Tableau de bord'!$P$16:$P$19</c:f>
              <c:strCache>
                <c:ptCount val="4"/>
                <c:pt idx="0">
                  <c:v>Facebook</c:v>
                </c:pt>
                <c:pt idx="1">
                  <c:v>Instagram</c:v>
                </c:pt>
                <c:pt idx="2">
                  <c:v>TikTok</c:v>
                </c:pt>
                <c:pt idx="3">
                  <c:v>YouTube</c:v>
                </c:pt>
              </c:strCache>
            </c:strRef>
          </c:cat>
          <c:val>
            <c:numRef>
              <c:f>'Tableau de bord'!$R$16:$R$19</c:f>
              <c:numCache>
                <c:formatCode>#\ ##0.00\ 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83-4149-B4AB-09EC7FD4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18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endrierEditorialTable" displayName="CalendrierEditorialTable" ref="A5:AN305">
  <tableColumns count="40">
    <tableColumn id="1" xr3:uid="{00000000-0010-0000-0000-000001000000}" name="ID"/>
    <tableColumn id="2" xr3:uid="{00000000-0010-0000-0000-000002000000}" name="Date publication"/>
    <tableColumn id="3" xr3:uid="{00000000-0010-0000-0000-000003000000}" name="Mois"/>
    <tableColumn id="4" xr3:uid="{00000000-0010-0000-0000-000004000000}" name="Plateforme"/>
    <tableColumn id="5" xr3:uid="{00000000-0010-0000-0000-000005000000}" name="Statut"/>
    <tableColumn id="6" xr3:uid="{00000000-0010-0000-0000-000006000000}" name="Objectif SMART"/>
    <tableColumn id="7" xr3:uid="{00000000-0010-0000-0000-000007000000}" name="Indicateurs de mesure"/>
    <tableColumn id="8" xr3:uid="{00000000-0010-0000-0000-000008000000}" name="Type contenu"/>
    <tableColumn id="9" xr3:uid="{00000000-0010-0000-0000-000009000000}" name="Thématique"/>
    <tableColumn id="10" xr3:uid="{00000000-0010-0000-0000-00000A000000}" name="Étape See–Think–Do"/>
    <tableColumn id="11" xr3:uid="{00000000-0010-0000-0000-00000B000000}" name="Méthode de création"/>
    <tableColumn id="12" xr3:uid="{00000000-0010-0000-0000-00000C000000}" name="Format"/>
    <tableColumn id="13" xr3:uid="{00000000-0010-0000-0000-00000D000000}" name="Sujet"/>
    <tableColumn id="14" xr3:uid="{00000000-0010-0000-0000-00000E000000}" name="Message clé"/>
    <tableColumn id="15" xr3:uid="{00000000-0010-0000-0000-00000F000000}" name="Appel à l’action"/>
    <tableColumn id="16" xr3:uid="{00000000-0010-0000-0000-000010000000}" name="Contrôle effectué"/>
    <tableColumn id="17" xr3:uid="{00000000-0010-0000-0000-000011000000}" name="Date programmation"/>
    <tableColumn id="18" xr3:uid="{00000000-0010-0000-0000-000012000000}" name="Lien publication"/>
    <tableColumn id="19" xr3:uid="{00000000-0010-0000-0000-000013000000}" name="Impressions"/>
    <tableColumn id="20" xr3:uid="{00000000-0010-0000-0000-000014000000}" name="Portée"/>
    <tableColumn id="21" xr3:uid="{00000000-0010-0000-0000-000015000000}" name="Vues"/>
    <tableColumn id="22" xr3:uid="{00000000-0010-0000-0000-000016000000}" name="Clics"/>
    <tableColumn id="23" xr3:uid="{00000000-0010-0000-0000-000017000000}" name="J’aime"/>
    <tableColumn id="24" xr3:uid="{00000000-0010-0000-0000-000018000000}" name="Commentaires"/>
    <tableColumn id="25" xr3:uid="{00000000-0010-0000-0000-000019000000}" name="Partages"/>
    <tableColumn id="26" xr3:uid="{00000000-0010-0000-0000-00001A000000}" name="Enregistrements"/>
    <tableColumn id="27" xr3:uid="{00000000-0010-0000-0000-00001B000000}" name="Engagement total"/>
    <tableColumn id="28" xr3:uid="{00000000-0010-0000-0000-00001C000000}" name="Taux d’engagement"/>
    <tableColumn id="29" xr3:uid="{00000000-0010-0000-0000-00001D000000}" name="Nouveaux abonnés"/>
    <tableColumn id="30" xr3:uid="{00000000-0010-0000-0000-00001E000000}" name="Messages privés"/>
    <tableColumn id="31" xr3:uid="{00000000-0010-0000-0000-00001F000000}" name="Prises de contact"/>
    <tableColumn id="32" xr3:uid="{00000000-0010-0000-0000-000020000000}" name="Rendez-vous"/>
    <tableColumn id="33" xr3:uid="{00000000-0010-0000-0000-000021000000}" name="Mission signée"/>
    <tableColumn id="34" xr3:uid="{00000000-0010-0000-0000-000022000000}" name="CA généré"/>
    <tableColumn id="35" xr3:uid="{00000000-0010-0000-0000-000023000000}" name="Temps production (h)"/>
    <tableColumn id="36" xr3:uid="{00000000-0010-0000-0000-000024000000}" name="Coût externe"/>
    <tableColumn id="37" xr3:uid="{00000000-0010-0000-0000-000025000000}" name="Coût total"/>
    <tableColumn id="38" xr3:uid="{00000000-0010-0000-0000-000026000000}" name="Analyse"/>
    <tableColumn id="39" xr3:uid="{00000000-0010-0000-0000-000027000000}" name="Action corrective"/>
    <tableColumn id="40" xr3:uid="{00000000-0010-0000-0000-000028000000}" name="Statut optimis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showGridLines="0" tabSelected="1" workbookViewId="0">
      <selection activeCell="B25" sqref="B25"/>
    </sheetView>
  </sheetViews>
  <sheetFormatPr baseColWidth="10" defaultColWidth="8.83203125" defaultRowHeight="14"/>
  <cols>
    <col min="1" max="1" width="18" customWidth="1"/>
    <col min="2" max="2" width="110" customWidth="1"/>
    <col min="3" max="3" width="45.83203125" customWidth="1"/>
    <col min="4" max="4" width="37" customWidth="1"/>
  </cols>
  <sheetData>
    <row r="1" spans="1:4" ht="60" customHeight="1">
      <c r="A1" s="56" t="s">
        <v>159</v>
      </c>
      <c r="B1" s="57"/>
      <c r="C1" s="57"/>
      <c r="D1" s="57"/>
    </row>
    <row r="2" spans="1:4" ht="15">
      <c r="A2" s="6"/>
      <c r="B2" s="6"/>
      <c r="C2" s="6"/>
      <c r="D2" s="6"/>
    </row>
    <row r="3" spans="1:4" ht="35" customHeight="1">
      <c r="A3" s="55" t="s">
        <v>0</v>
      </c>
      <c r="B3" s="70" t="s">
        <v>1</v>
      </c>
      <c r="C3" s="70"/>
      <c r="D3" s="70"/>
    </row>
    <row r="4" spans="1:4" ht="15">
      <c r="A4" s="6"/>
      <c r="B4" s="6"/>
      <c r="C4" s="6"/>
      <c r="D4" s="6"/>
    </row>
    <row r="5" spans="1:4" ht="16">
      <c r="A5" s="53" t="s">
        <v>2</v>
      </c>
      <c r="B5" s="53" t="s">
        <v>3</v>
      </c>
      <c r="C5" s="53" t="s">
        <v>4</v>
      </c>
      <c r="D5" s="53" t="s">
        <v>5</v>
      </c>
    </row>
    <row r="6" spans="1:4" ht="16">
      <c r="A6" s="7" t="s">
        <v>6</v>
      </c>
      <c r="B6" s="67" t="s">
        <v>7</v>
      </c>
      <c r="C6" s="67" t="s">
        <v>160</v>
      </c>
      <c r="D6" s="67" t="s">
        <v>8</v>
      </c>
    </row>
    <row r="7" spans="1:4" ht="16">
      <c r="A7" s="7" t="s">
        <v>9</v>
      </c>
      <c r="B7" s="67" t="s">
        <v>10</v>
      </c>
      <c r="C7" s="67" t="s">
        <v>161</v>
      </c>
      <c r="D7" s="67" t="s">
        <v>11</v>
      </c>
    </row>
    <row r="8" spans="1:4" ht="32">
      <c r="A8" s="7" t="s">
        <v>12</v>
      </c>
      <c r="B8" s="67" t="s">
        <v>13</v>
      </c>
      <c r="C8" s="67" t="s">
        <v>14</v>
      </c>
      <c r="D8" s="67" t="s">
        <v>15</v>
      </c>
    </row>
    <row r="9" spans="1:4" ht="16">
      <c r="A9" s="7" t="s">
        <v>16</v>
      </c>
      <c r="B9" s="67" t="s">
        <v>17</v>
      </c>
      <c r="C9" s="67" t="s">
        <v>18</v>
      </c>
      <c r="D9" s="67" t="s">
        <v>19</v>
      </c>
    </row>
    <row r="10" spans="1:4" ht="16">
      <c r="A10" s="7" t="s">
        <v>20</v>
      </c>
      <c r="B10" s="67" t="s">
        <v>21</v>
      </c>
      <c r="C10" s="67" t="s">
        <v>162</v>
      </c>
      <c r="D10" s="67" t="s">
        <v>22</v>
      </c>
    </row>
    <row r="11" spans="1:4" ht="16">
      <c r="A11" s="7" t="s">
        <v>23</v>
      </c>
      <c r="B11" s="67" t="s">
        <v>24</v>
      </c>
      <c r="C11" s="67" t="s">
        <v>25</v>
      </c>
      <c r="D11" s="67" t="s">
        <v>26</v>
      </c>
    </row>
    <row r="12" spans="1:4" ht="15">
      <c r="A12" s="6"/>
      <c r="B12" s="6"/>
      <c r="C12" s="6"/>
      <c r="D12" s="6"/>
    </row>
    <row r="13" spans="1:4" ht="16">
      <c r="A13" s="54" t="s">
        <v>27</v>
      </c>
      <c r="B13" s="54" t="s">
        <v>28</v>
      </c>
      <c r="C13" s="54" t="s">
        <v>29</v>
      </c>
      <c r="D13" s="54" t="s">
        <v>30</v>
      </c>
    </row>
    <row r="14" spans="1:4" ht="32">
      <c r="A14" s="61" t="s">
        <v>31</v>
      </c>
      <c r="B14" s="4" t="s">
        <v>32</v>
      </c>
      <c r="C14" s="62" t="s">
        <v>33</v>
      </c>
      <c r="D14" s="63" t="s">
        <v>34</v>
      </c>
    </row>
    <row r="15" spans="1:4" ht="32">
      <c r="A15" s="62" t="s">
        <v>35</v>
      </c>
      <c r="B15" s="4" t="s">
        <v>36</v>
      </c>
      <c r="C15" s="62" t="s">
        <v>37</v>
      </c>
      <c r="D15" s="64" t="s">
        <v>38</v>
      </c>
    </row>
    <row r="16" spans="1:4" ht="16">
      <c r="A16" s="62" t="s">
        <v>39</v>
      </c>
      <c r="B16" s="4" t="s">
        <v>40</v>
      </c>
      <c r="C16" s="62" t="s">
        <v>41</v>
      </c>
      <c r="D16" s="65" t="s">
        <v>42</v>
      </c>
    </row>
    <row r="17" spans="1:4" ht="16">
      <c r="A17" s="62" t="s">
        <v>43</v>
      </c>
      <c r="B17" s="4" t="s">
        <v>44</v>
      </c>
      <c r="C17" s="62" t="s">
        <v>45</v>
      </c>
      <c r="D17" s="66" t="s">
        <v>46</v>
      </c>
    </row>
    <row r="18" spans="1:4" ht="15">
      <c r="A18" s="6"/>
      <c r="B18" s="6"/>
      <c r="C18" s="6"/>
      <c r="D18" s="6"/>
    </row>
    <row r="19" spans="1:4" ht="16">
      <c r="A19" s="60" t="s">
        <v>47</v>
      </c>
      <c r="B19" s="60" t="s">
        <v>48</v>
      </c>
      <c r="C19" s="60" t="s">
        <v>49</v>
      </c>
      <c r="D19" s="60" t="s">
        <v>50</v>
      </c>
    </row>
    <row r="20" spans="1:4" ht="58.75" customHeight="1">
      <c r="A20" s="59" t="s">
        <v>51</v>
      </c>
      <c r="B20" s="69" t="s">
        <v>52</v>
      </c>
      <c r="C20" s="69"/>
      <c r="D20" s="69"/>
    </row>
    <row r="21" spans="1:4" ht="15">
      <c r="A21" s="6"/>
      <c r="B21" s="6"/>
      <c r="C21" s="6"/>
      <c r="D21" s="6"/>
    </row>
    <row r="22" spans="1:4" ht="15">
      <c r="A22" s="6"/>
      <c r="B22" s="6"/>
      <c r="C22" s="6"/>
      <c r="D22" s="6"/>
    </row>
    <row r="23" spans="1:4" ht="56" customHeight="1">
      <c r="A23" s="58" t="s">
        <v>53</v>
      </c>
      <c r="B23" s="68" t="s">
        <v>54</v>
      </c>
      <c r="C23" s="68"/>
      <c r="D23" s="68"/>
    </row>
    <row r="24" spans="1:4" ht="15">
      <c r="A24" s="6"/>
      <c r="B24" s="6"/>
      <c r="C24" s="6"/>
      <c r="D24" s="6"/>
    </row>
    <row r="25" spans="1:4" ht="15">
      <c r="A25" s="6"/>
      <c r="B25" s="6"/>
      <c r="C25" s="6"/>
      <c r="D25" s="6"/>
    </row>
  </sheetData>
  <mergeCells count="4">
    <mergeCell ref="A1:D1"/>
    <mergeCell ref="B3:D3"/>
    <mergeCell ref="B23:D23"/>
    <mergeCell ref="B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baseColWidth="10" defaultColWidth="8.83203125" defaultRowHeight="14"/>
  <cols>
    <col min="1" max="1" width="34" customWidth="1"/>
    <col min="2" max="2" width="70" customWidth="1"/>
  </cols>
  <sheetData>
    <row r="1" spans="1:2" ht="20">
      <c r="A1" s="52" t="s">
        <v>55</v>
      </c>
      <c r="B1" s="2"/>
    </row>
    <row r="2" spans="1:2" ht="15">
      <c r="A2" s="3"/>
      <c r="B2" s="3"/>
    </row>
    <row r="3" spans="1:2" ht="15">
      <c r="A3" s="8" t="s">
        <v>56</v>
      </c>
      <c r="B3" s="8" t="s">
        <v>57</v>
      </c>
    </row>
    <row r="4" spans="1:2" ht="16">
      <c r="A4" s="5" t="s">
        <v>58</v>
      </c>
      <c r="B4" s="9">
        <v>0</v>
      </c>
    </row>
    <row r="5" spans="1:2" ht="32">
      <c r="A5" s="5" t="s">
        <v>59</v>
      </c>
      <c r="B5" s="5" t="s">
        <v>60</v>
      </c>
    </row>
    <row r="6" spans="1:2" ht="15">
      <c r="A6" s="3"/>
      <c r="B6" s="3"/>
    </row>
    <row r="7" spans="1:2" ht="15">
      <c r="A7" s="3"/>
      <c r="B7" s="3"/>
    </row>
    <row r="8" spans="1:2" ht="15">
      <c r="A8" s="3"/>
      <c r="B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05"/>
  <sheetViews>
    <sheetView topLeftCell="M1" workbookViewId="0">
      <selection activeCell="F11" sqref="F11"/>
    </sheetView>
  </sheetViews>
  <sheetFormatPr baseColWidth="10" defaultColWidth="8.83203125" defaultRowHeight="14"/>
  <cols>
    <col min="1" max="1" width="17.6640625" customWidth="1"/>
    <col min="2" max="2" width="19.5" customWidth="1"/>
    <col min="3" max="3" width="14.6640625" customWidth="1"/>
    <col min="4" max="4" width="22.33203125" customWidth="1"/>
    <col min="5" max="5" width="15" customWidth="1"/>
    <col min="6" max="6" width="28" customWidth="1"/>
    <col min="7" max="7" width="24" customWidth="1"/>
    <col min="8" max="8" width="12" customWidth="1"/>
    <col min="9" max="9" width="18" customWidth="1"/>
    <col min="10" max="10" width="16" customWidth="1"/>
    <col min="11" max="12" width="20" customWidth="1"/>
    <col min="13" max="13" width="28" customWidth="1"/>
    <col min="14" max="14" width="30" customWidth="1"/>
    <col min="15" max="15" width="24" customWidth="1"/>
    <col min="16" max="16" width="14" customWidth="1"/>
    <col min="17" max="17" width="15" customWidth="1"/>
    <col min="18" max="18" width="28" customWidth="1"/>
    <col min="19" max="20" width="12" customWidth="1"/>
    <col min="21" max="23" width="10" customWidth="1"/>
    <col min="24" max="24" width="12" customWidth="1"/>
    <col min="25" max="25" width="10" customWidth="1"/>
    <col min="26" max="31" width="14" customWidth="1"/>
    <col min="32" max="32" width="12" customWidth="1"/>
    <col min="33" max="33" width="13" customWidth="1"/>
    <col min="34" max="34" width="14" customWidth="1"/>
    <col min="35" max="35" width="16" customWidth="1"/>
    <col min="36" max="37" width="13" customWidth="1"/>
    <col min="38" max="39" width="28" customWidth="1"/>
    <col min="40" max="40" width="18" customWidth="1"/>
  </cols>
  <sheetData>
    <row r="1" spans="1:40" ht="40" customHeight="1">
      <c r="A1" s="71" t="s">
        <v>163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</row>
    <row r="2" spans="1:40" ht="42.75" customHeight="1">
      <c r="A2" s="73" t="s">
        <v>61</v>
      </c>
      <c r="B2" s="72" t="s">
        <v>62</v>
      </c>
      <c r="C2" s="72"/>
      <c r="D2" s="72"/>
      <c r="E2" s="72"/>
      <c r="F2" s="72"/>
      <c r="G2" s="72"/>
      <c r="H2" s="72"/>
      <c r="I2" s="7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32" customHeight="1">
      <c r="A3" s="74" t="s">
        <v>63</v>
      </c>
      <c r="B3" s="75" t="s">
        <v>64</v>
      </c>
      <c r="C3" s="76"/>
      <c r="D3" s="76"/>
      <c r="E3" s="76"/>
      <c r="F3" s="7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</row>
    <row r="4" spans="1:40" ht="15">
      <c r="A4" s="11" t="s">
        <v>65</v>
      </c>
      <c r="B4" s="11"/>
      <c r="C4" s="11"/>
      <c r="D4" s="12" t="s">
        <v>66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3" t="s">
        <v>67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4" t="s">
        <v>68</v>
      </c>
      <c r="AM4" s="14"/>
      <c r="AN4" s="14"/>
    </row>
    <row r="5" spans="1:40" ht="56" customHeight="1">
      <c r="A5" s="15" t="s">
        <v>69</v>
      </c>
      <c r="B5" s="15" t="s">
        <v>70</v>
      </c>
      <c r="C5" s="15" t="s">
        <v>71</v>
      </c>
      <c r="D5" s="15" t="s">
        <v>72</v>
      </c>
      <c r="E5" s="15" t="s">
        <v>73</v>
      </c>
      <c r="F5" s="15" t="s">
        <v>74</v>
      </c>
      <c r="G5" s="15" t="s">
        <v>75</v>
      </c>
      <c r="H5" s="15" t="s">
        <v>76</v>
      </c>
      <c r="I5" s="15" t="s">
        <v>77</v>
      </c>
      <c r="J5" s="15" t="s">
        <v>78</v>
      </c>
      <c r="K5" s="15" t="s">
        <v>79</v>
      </c>
      <c r="L5" s="15" t="s">
        <v>80</v>
      </c>
      <c r="M5" s="15" t="s">
        <v>81</v>
      </c>
      <c r="N5" s="15" t="s">
        <v>82</v>
      </c>
      <c r="O5" s="15" t="s">
        <v>83</v>
      </c>
      <c r="P5" s="15" t="s">
        <v>84</v>
      </c>
      <c r="Q5" s="15" t="s">
        <v>85</v>
      </c>
      <c r="R5" s="15" t="s">
        <v>86</v>
      </c>
      <c r="S5" s="15" t="s">
        <v>87</v>
      </c>
      <c r="T5" s="15" t="s">
        <v>88</v>
      </c>
      <c r="U5" s="15" t="s">
        <v>89</v>
      </c>
      <c r="V5" s="15" t="s">
        <v>90</v>
      </c>
      <c r="W5" s="15" t="s">
        <v>91</v>
      </c>
      <c r="X5" s="15" t="s">
        <v>92</v>
      </c>
      <c r="Y5" s="15" t="s">
        <v>93</v>
      </c>
      <c r="Z5" s="15" t="s">
        <v>94</v>
      </c>
      <c r="AA5" s="15" t="s">
        <v>95</v>
      </c>
      <c r="AB5" s="15" t="s">
        <v>96</v>
      </c>
      <c r="AC5" s="15" t="s">
        <v>97</v>
      </c>
      <c r="AD5" s="15" t="s">
        <v>98</v>
      </c>
      <c r="AE5" s="15" t="s">
        <v>99</v>
      </c>
      <c r="AF5" s="15" t="s">
        <v>100</v>
      </c>
      <c r="AG5" s="15" t="s">
        <v>101</v>
      </c>
      <c r="AH5" s="15" t="s">
        <v>102</v>
      </c>
      <c r="AI5" s="15" t="s">
        <v>103</v>
      </c>
      <c r="AJ5" s="15" t="s">
        <v>104</v>
      </c>
      <c r="AK5" s="15" t="s">
        <v>105</v>
      </c>
      <c r="AL5" s="15" t="s">
        <v>39</v>
      </c>
      <c r="AM5" s="15" t="s">
        <v>106</v>
      </c>
      <c r="AN5" s="26" t="s">
        <v>107</v>
      </c>
    </row>
    <row r="6" spans="1:40" ht="15">
      <c r="A6" s="16" t="str">
        <f t="shared" ref="A6:A69" si="0">IF(B6="","",ROW()-5)</f>
        <v/>
      </c>
      <c r="B6" s="17"/>
      <c r="C6" s="16" t="str">
        <f t="shared" ref="C6:C69" si="1">IF(B6="","",CHOOSE(MONTH(B6),"Janvier","Février","Mars","Avril","Mai","Juin","Juillet","Août","Septembre","Octobre","Novembre","Décembre"))</f>
        <v/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9"/>
      <c r="R6" s="20"/>
      <c r="S6" s="20"/>
      <c r="T6" s="20"/>
      <c r="U6" s="20"/>
      <c r="V6" s="20"/>
      <c r="W6" s="20"/>
      <c r="X6" s="20"/>
      <c r="Y6" s="20"/>
      <c r="Z6" s="20"/>
      <c r="AA6" s="20" t="str">
        <f t="shared" ref="AA6:AA69" si="2">IF(B6="","",SUM(W6:Z6))</f>
        <v/>
      </c>
      <c r="AB6" s="21">
        <f t="shared" ref="AB6:AB69" si="3">IFERROR(AA6/T6,0)</f>
        <v>0</v>
      </c>
      <c r="AC6" s="20"/>
      <c r="AD6" s="20"/>
      <c r="AE6" s="20"/>
      <c r="AF6" s="20"/>
      <c r="AG6" s="20"/>
      <c r="AH6" s="22"/>
      <c r="AI6" s="23"/>
      <c r="AJ6" s="22"/>
      <c r="AK6" s="24" t="str">
        <f>IF(B6="","",AI6*Paramètres!$B$4+AJ6)</f>
        <v/>
      </c>
      <c r="AL6" s="25"/>
      <c r="AM6" s="25"/>
      <c r="AN6" s="27"/>
    </row>
    <row r="7" spans="1:40" ht="15">
      <c r="A7" s="16" t="str">
        <f t="shared" si="0"/>
        <v/>
      </c>
      <c r="B7" s="17"/>
      <c r="C7" s="16" t="str">
        <f t="shared" si="1"/>
        <v/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9"/>
      <c r="R7" s="20"/>
      <c r="S7" s="20"/>
      <c r="T7" s="20"/>
      <c r="U7" s="20"/>
      <c r="V7" s="20"/>
      <c r="W7" s="20"/>
      <c r="X7" s="20"/>
      <c r="Y7" s="20"/>
      <c r="Z7" s="20"/>
      <c r="AA7" s="20" t="str">
        <f t="shared" si="2"/>
        <v/>
      </c>
      <c r="AB7" s="21">
        <f t="shared" si="3"/>
        <v>0</v>
      </c>
      <c r="AC7" s="20"/>
      <c r="AD7" s="20"/>
      <c r="AE7" s="20"/>
      <c r="AF7" s="20"/>
      <c r="AG7" s="20"/>
      <c r="AH7" s="22"/>
      <c r="AI7" s="23"/>
      <c r="AJ7" s="22"/>
      <c r="AK7" s="24" t="str">
        <f>IF(B7="","",AI7*Paramètres!$B$4+AJ7)</f>
        <v/>
      </c>
      <c r="AL7" s="25"/>
      <c r="AM7" s="25"/>
      <c r="AN7" s="27"/>
    </row>
    <row r="8" spans="1:40" ht="15">
      <c r="A8" s="16" t="str">
        <f t="shared" si="0"/>
        <v/>
      </c>
      <c r="B8" s="17"/>
      <c r="C8" s="16" t="str">
        <f t="shared" si="1"/>
        <v/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/>
      <c r="S8" s="20"/>
      <c r="T8" s="20"/>
      <c r="U8" s="20"/>
      <c r="V8" s="20"/>
      <c r="W8" s="20"/>
      <c r="X8" s="20"/>
      <c r="Y8" s="20"/>
      <c r="Z8" s="20"/>
      <c r="AA8" s="20" t="str">
        <f t="shared" si="2"/>
        <v/>
      </c>
      <c r="AB8" s="21">
        <f t="shared" si="3"/>
        <v>0</v>
      </c>
      <c r="AC8" s="20"/>
      <c r="AD8" s="20"/>
      <c r="AE8" s="20"/>
      <c r="AF8" s="20"/>
      <c r="AG8" s="20"/>
      <c r="AH8" s="22"/>
      <c r="AI8" s="23"/>
      <c r="AJ8" s="22"/>
      <c r="AK8" s="24" t="str">
        <f>IF(B8="","",AI8*Paramètres!$B$4+AJ8)</f>
        <v/>
      </c>
      <c r="AL8" s="25"/>
      <c r="AM8" s="25"/>
      <c r="AN8" s="27"/>
    </row>
    <row r="9" spans="1:40" ht="15">
      <c r="A9" s="16" t="str">
        <f t="shared" si="0"/>
        <v/>
      </c>
      <c r="B9" s="17"/>
      <c r="C9" s="16" t="str">
        <f t="shared" si="1"/>
        <v/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9"/>
      <c r="R9" s="20"/>
      <c r="S9" s="20"/>
      <c r="T9" s="20"/>
      <c r="U9" s="20"/>
      <c r="V9" s="20"/>
      <c r="W9" s="20"/>
      <c r="X9" s="20"/>
      <c r="Y9" s="20"/>
      <c r="Z9" s="20"/>
      <c r="AA9" s="20" t="str">
        <f t="shared" si="2"/>
        <v/>
      </c>
      <c r="AB9" s="21">
        <f t="shared" si="3"/>
        <v>0</v>
      </c>
      <c r="AC9" s="20"/>
      <c r="AD9" s="20"/>
      <c r="AE9" s="20"/>
      <c r="AF9" s="20"/>
      <c r="AG9" s="20"/>
      <c r="AH9" s="22"/>
      <c r="AI9" s="23"/>
      <c r="AJ9" s="22"/>
      <c r="AK9" s="24" t="str">
        <f>IF(B9="","",AI9*Paramètres!$B$4+AJ9)</f>
        <v/>
      </c>
      <c r="AL9" s="25"/>
      <c r="AM9" s="25"/>
      <c r="AN9" s="27"/>
    </row>
    <row r="10" spans="1:40" ht="15">
      <c r="A10" s="16" t="str">
        <f t="shared" si="0"/>
        <v/>
      </c>
      <c r="B10" s="17"/>
      <c r="C10" s="16" t="str">
        <f t="shared" si="1"/>
        <v/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/>
      <c r="R10" s="20"/>
      <c r="S10" s="20"/>
      <c r="T10" s="20"/>
      <c r="U10" s="20"/>
      <c r="V10" s="20"/>
      <c r="W10" s="20"/>
      <c r="X10" s="20"/>
      <c r="Y10" s="20"/>
      <c r="Z10" s="20"/>
      <c r="AA10" s="20" t="str">
        <f t="shared" si="2"/>
        <v/>
      </c>
      <c r="AB10" s="21">
        <f t="shared" si="3"/>
        <v>0</v>
      </c>
      <c r="AC10" s="20"/>
      <c r="AD10" s="20"/>
      <c r="AE10" s="20"/>
      <c r="AF10" s="20"/>
      <c r="AG10" s="20"/>
      <c r="AH10" s="22"/>
      <c r="AI10" s="23"/>
      <c r="AJ10" s="22"/>
      <c r="AK10" s="24" t="str">
        <f>IF(B10="","",AI10*Paramètres!$B$4+AJ10)</f>
        <v/>
      </c>
      <c r="AL10" s="25"/>
      <c r="AM10" s="25"/>
      <c r="AN10" s="27"/>
    </row>
    <row r="11" spans="1:40" ht="15">
      <c r="A11" s="16" t="str">
        <f t="shared" si="0"/>
        <v/>
      </c>
      <c r="B11" s="17"/>
      <c r="C11" s="16" t="str">
        <f t="shared" si="1"/>
        <v/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20"/>
      <c r="S11" s="20"/>
      <c r="T11" s="20"/>
      <c r="U11" s="20"/>
      <c r="V11" s="20"/>
      <c r="W11" s="20"/>
      <c r="X11" s="20"/>
      <c r="Y11" s="20"/>
      <c r="Z11" s="20"/>
      <c r="AA11" s="20" t="str">
        <f t="shared" si="2"/>
        <v/>
      </c>
      <c r="AB11" s="21">
        <f t="shared" si="3"/>
        <v>0</v>
      </c>
      <c r="AC11" s="20"/>
      <c r="AD11" s="20"/>
      <c r="AE11" s="20"/>
      <c r="AF11" s="20"/>
      <c r="AG11" s="20"/>
      <c r="AH11" s="22"/>
      <c r="AI11" s="23"/>
      <c r="AJ11" s="22"/>
      <c r="AK11" s="24" t="str">
        <f>IF(B11="","",AI11*Paramètres!$B$4+AJ11)</f>
        <v/>
      </c>
      <c r="AL11" s="25"/>
      <c r="AM11" s="25"/>
      <c r="AN11" s="27"/>
    </row>
    <row r="12" spans="1:40" ht="15">
      <c r="A12" s="16" t="str">
        <f t="shared" si="0"/>
        <v/>
      </c>
      <c r="B12" s="17"/>
      <c r="C12" s="16" t="str">
        <f t="shared" si="1"/>
        <v/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9"/>
      <c r="R12" s="20"/>
      <c r="S12" s="20"/>
      <c r="T12" s="20"/>
      <c r="U12" s="20"/>
      <c r="V12" s="20"/>
      <c r="W12" s="20"/>
      <c r="X12" s="20"/>
      <c r="Y12" s="20"/>
      <c r="Z12" s="20"/>
      <c r="AA12" s="20" t="str">
        <f t="shared" si="2"/>
        <v/>
      </c>
      <c r="AB12" s="21">
        <f t="shared" si="3"/>
        <v>0</v>
      </c>
      <c r="AC12" s="20"/>
      <c r="AD12" s="20"/>
      <c r="AE12" s="20"/>
      <c r="AF12" s="20"/>
      <c r="AG12" s="20"/>
      <c r="AH12" s="22"/>
      <c r="AI12" s="23"/>
      <c r="AJ12" s="22"/>
      <c r="AK12" s="24" t="str">
        <f>IF(B12="","",AI12*Paramètres!$B$4+AJ12)</f>
        <v/>
      </c>
      <c r="AL12" s="25"/>
      <c r="AM12" s="25"/>
      <c r="AN12" s="27"/>
    </row>
    <row r="13" spans="1:40" ht="15">
      <c r="A13" s="16" t="str">
        <f t="shared" si="0"/>
        <v/>
      </c>
      <c r="B13" s="17"/>
      <c r="C13" s="16" t="str">
        <f t="shared" si="1"/>
        <v/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9"/>
      <c r="R13" s="20"/>
      <c r="S13" s="20"/>
      <c r="T13" s="20"/>
      <c r="U13" s="20"/>
      <c r="V13" s="20"/>
      <c r="W13" s="20"/>
      <c r="X13" s="20"/>
      <c r="Y13" s="20"/>
      <c r="Z13" s="20"/>
      <c r="AA13" s="20" t="str">
        <f t="shared" si="2"/>
        <v/>
      </c>
      <c r="AB13" s="21">
        <f t="shared" si="3"/>
        <v>0</v>
      </c>
      <c r="AC13" s="20"/>
      <c r="AD13" s="20"/>
      <c r="AE13" s="20"/>
      <c r="AF13" s="20"/>
      <c r="AG13" s="20"/>
      <c r="AH13" s="22"/>
      <c r="AI13" s="23"/>
      <c r="AJ13" s="22"/>
      <c r="AK13" s="24" t="str">
        <f>IF(B13="","",AI13*Paramètres!$B$4+AJ13)</f>
        <v/>
      </c>
      <c r="AL13" s="25"/>
      <c r="AM13" s="25"/>
      <c r="AN13" s="27"/>
    </row>
    <row r="14" spans="1:40" ht="15">
      <c r="A14" s="16" t="str">
        <f t="shared" si="0"/>
        <v/>
      </c>
      <c r="B14" s="17"/>
      <c r="C14" s="16" t="str">
        <f t="shared" si="1"/>
        <v/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9"/>
      <c r="R14" s="20"/>
      <c r="S14" s="20"/>
      <c r="T14" s="20"/>
      <c r="U14" s="20"/>
      <c r="V14" s="20"/>
      <c r="W14" s="20"/>
      <c r="X14" s="20"/>
      <c r="Y14" s="20"/>
      <c r="Z14" s="20"/>
      <c r="AA14" s="20" t="str">
        <f t="shared" si="2"/>
        <v/>
      </c>
      <c r="AB14" s="21">
        <f t="shared" si="3"/>
        <v>0</v>
      </c>
      <c r="AC14" s="20"/>
      <c r="AD14" s="20"/>
      <c r="AE14" s="20"/>
      <c r="AF14" s="20"/>
      <c r="AG14" s="20"/>
      <c r="AH14" s="22"/>
      <c r="AI14" s="23"/>
      <c r="AJ14" s="22"/>
      <c r="AK14" s="24" t="str">
        <f>IF(B14="","",AI14*Paramètres!$B$4+AJ14)</f>
        <v/>
      </c>
      <c r="AL14" s="25"/>
      <c r="AM14" s="25"/>
      <c r="AN14" s="27"/>
    </row>
    <row r="15" spans="1:40" ht="15">
      <c r="A15" s="16" t="str">
        <f t="shared" si="0"/>
        <v/>
      </c>
      <c r="B15" s="17"/>
      <c r="C15" s="16" t="str">
        <f t="shared" si="1"/>
        <v/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9"/>
      <c r="R15" s="20"/>
      <c r="S15" s="20"/>
      <c r="T15" s="20"/>
      <c r="U15" s="20"/>
      <c r="V15" s="20"/>
      <c r="W15" s="20"/>
      <c r="X15" s="20"/>
      <c r="Y15" s="20"/>
      <c r="Z15" s="20"/>
      <c r="AA15" s="20" t="str">
        <f t="shared" si="2"/>
        <v/>
      </c>
      <c r="AB15" s="21">
        <f t="shared" si="3"/>
        <v>0</v>
      </c>
      <c r="AC15" s="20"/>
      <c r="AD15" s="20"/>
      <c r="AE15" s="20"/>
      <c r="AF15" s="20"/>
      <c r="AG15" s="20"/>
      <c r="AH15" s="22"/>
      <c r="AI15" s="23"/>
      <c r="AJ15" s="22"/>
      <c r="AK15" s="24" t="str">
        <f>IF(B15="","",AI15*Paramètres!$B$4+AJ15)</f>
        <v/>
      </c>
      <c r="AL15" s="25"/>
      <c r="AM15" s="25"/>
      <c r="AN15" s="27"/>
    </row>
    <row r="16" spans="1:40" ht="15">
      <c r="A16" s="16" t="str">
        <f t="shared" si="0"/>
        <v/>
      </c>
      <c r="B16" s="17"/>
      <c r="C16" s="16" t="str">
        <f t="shared" si="1"/>
        <v/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9"/>
      <c r="R16" s="20"/>
      <c r="S16" s="20"/>
      <c r="T16" s="20"/>
      <c r="U16" s="20"/>
      <c r="V16" s="20"/>
      <c r="W16" s="20"/>
      <c r="X16" s="20"/>
      <c r="Y16" s="20"/>
      <c r="Z16" s="20"/>
      <c r="AA16" s="20" t="str">
        <f t="shared" si="2"/>
        <v/>
      </c>
      <c r="AB16" s="21">
        <f t="shared" si="3"/>
        <v>0</v>
      </c>
      <c r="AC16" s="20"/>
      <c r="AD16" s="20"/>
      <c r="AE16" s="20"/>
      <c r="AF16" s="20"/>
      <c r="AG16" s="20"/>
      <c r="AH16" s="22"/>
      <c r="AI16" s="23"/>
      <c r="AJ16" s="22"/>
      <c r="AK16" s="24" t="str">
        <f>IF(B16="","",AI16*Paramètres!$B$4+AJ16)</f>
        <v/>
      </c>
      <c r="AL16" s="25"/>
      <c r="AM16" s="25"/>
      <c r="AN16" s="27"/>
    </row>
    <row r="17" spans="1:40" ht="15">
      <c r="A17" s="16" t="str">
        <f t="shared" si="0"/>
        <v/>
      </c>
      <c r="B17" s="17"/>
      <c r="C17" s="16" t="str">
        <f t="shared" si="1"/>
        <v/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9"/>
      <c r="R17" s="20"/>
      <c r="S17" s="20"/>
      <c r="T17" s="20"/>
      <c r="U17" s="20"/>
      <c r="V17" s="20"/>
      <c r="W17" s="20"/>
      <c r="X17" s="20"/>
      <c r="Y17" s="20"/>
      <c r="Z17" s="20"/>
      <c r="AA17" s="20" t="str">
        <f t="shared" si="2"/>
        <v/>
      </c>
      <c r="AB17" s="21">
        <f t="shared" si="3"/>
        <v>0</v>
      </c>
      <c r="AC17" s="20"/>
      <c r="AD17" s="20"/>
      <c r="AE17" s="20"/>
      <c r="AF17" s="20"/>
      <c r="AG17" s="20"/>
      <c r="AH17" s="22"/>
      <c r="AI17" s="23"/>
      <c r="AJ17" s="22"/>
      <c r="AK17" s="24" t="str">
        <f>IF(B17="","",AI17*Paramètres!$B$4+AJ17)</f>
        <v/>
      </c>
      <c r="AL17" s="25"/>
      <c r="AM17" s="25"/>
      <c r="AN17" s="27"/>
    </row>
    <row r="18" spans="1:40" ht="15">
      <c r="A18" s="16" t="str">
        <f t="shared" si="0"/>
        <v/>
      </c>
      <c r="B18" s="17"/>
      <c r="C18" s="16" t="str">
        <f t="shared" si="1"/>
        <v/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9"/>
      <c r="R18" s="20"/>
      <c r="S18" s="20"/>
      <c r="T18" s="20"/>
      <c r="U18" s="20"/>
      <c r="V18" s="20"/>
      <c r="W18" s="20"/>
      <c r="X18" s="20"/>
      <c r="Y18" s="20"/>
      <c r="Z18" s="20"/>
      <c r="AA18" s="20" t="str">
        <f t="shared" si="2"/>
        <v/>
      </c>
      <c r="AB18" s="21">
        <f t="shared" si="3"/>
        <v>0</v>
      </c>
      <c r="AC18" s="20"/>
      <c r="AD18" s="20"/>
      <c r="AE18" s="20"/>
      <c r="AF18" s="20"/>
      <c r="AG18" s="20"/>
      <c r="AH18" s="22"/>
      <c r="AI18" s="23"/>
      <c r="AJ18" s="22"/>
      <c r="AK18" s="24" t="str">
        <f>IF(B18="","",AI18*Paramètres!$B$4+AJ18)</f>
        <v/>
      </c>
      <c r="AL18" s="25"/>
      <c r="AM18" s="25"/>
      <c r="AN18" s="27"/>
    </row>
    <row r="19" spans="1:40" ht="15">
      <c r="A19" s="16" t="str">
        <f t="shared" si="0"/>
        <v/>
      </c>
      <c r="B19" s="17"/>
      <c r="C19" s="16" t="str">
        <f t="shared" si="1"/>
        <v/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9"/>
      <c r="R19" s="20"/>
      <c r="S19" s="20"/>
      <c r="T19" s="20"/>
      <c r="U19" s="20"/>
      <c r="V19" s="20"/>
      <c r="W19" s="20"/>
      <c r="X19" s="20"/>
      <c r="Y19" s="20"/>
      <c r="Z19" s="20"/>
      <c r="AA19" s="20" t="str">
        <f t="shared" si="2"/>
        <v/>
      </c>
      <c r="AB19" s="21">
        <f t="shared" si="3"/>
        <v>0</v>
      </c>
      <c r="AC19" s="20"/>
      <c r="AD19" s="20"/>
      <c r="AE19" s="20"/>
      <c r="AF19" s="20"/>
      <c r="AG19" s="20"/>
      <c r="AH19" s="22"/>
      <c r="AI19" s="23"/>
      <c r="AJ19" s="22"/>
      <c r="AK19" s="24" t="str">
        <f>IF(B19="","",AI19*Paramètres!$B$4+AJ19)</f>
        <v/>
      </c>
      <c r="AL19" s="25"/>
      <c r="AM19" s="25"/>
      <c r="AN19" s="27"/>
    </row>
    <row r="20" spans="1:40" ht="15">
      <c r="A20" s="16" t="str">
        <f t="shared" si="0"/>
        <v/>
      </c>
      <c r="B20" s="17"/>
      <c r="C20" s="16" t="str">
        <f t="shared" si="1"/>
        <v/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9"/>
      <c r="R20" s="20"/>
      <c r="S20" s="20"/>
      <c r="T20" s="20"/>
      <c r="U20" s="20"/>
      <c r="V20" s="20"/>
      <c r="W20" s="20"/>
      <c r="X20" s="20"/>
      <c r="Y20" s="20"/>
      <c r="Z20" s="20"/>
      <c r="AA20" s="20" t="str">
        <f t="shared" si="2"/>
        <v/>
      </c>
      <c r="AB20" s="21">
        <f t="shared" si="3"/>
        <v>0</v>
      </c>
      <c r="AC20" s="20"/>
      <c r="AD20" s="20"/>
      <c r="AE20" s="20"/>
      <c r="AF20" s="20"/>
      <c r="AG20" s="20"/>
      <c r="AH20" s="22"/>
      <c r="AI20" s="23"/>
      <c r="AJ20" s="22"/>
      <c r="AK20" s="24" t="str">
        <f>IF(B20="","",AI20*Paramètres!$B$4+AJ20)</f>
        <v/>
      </c>
      <c r="AL20" s="25"/>
      <c r="AM20" s="25"/>
      <c r="AN20" s="27"/>
    </row>
    <row r="21" spans="1:40" ht="15">
      <c r="A21" s="16" t="str">
        <f t="shared" si="0"/>
        <v/>
      </c>
      <c r="B21" s="17"/>
      <c r="C21" s="16" t="str">
        <f t="shared" si="1"/>
        <v/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9"/>
      <c r="R21" s="20"/>
      <c r="S21" s="20"/>
      <c r="T21" s="20"/>
      <c r="U21" s="20"/>
      <c r="V21" s="20"/>
      <c r="W21" s="20"/>
      <c r="X21" s="20"/>
      <c r="Y21" s="20"/>
      <c r="Z21" s="20"/>
      <c r="AA21" s="20" t="str">
        <f t="shared" si="2"/>
        <v/>
      </c>
      <c r="AB21" s="21">
        <f t="shared" si="3"/>
        <v>0</v>
      </c>
      <c r="AC21" s="20"/>
      <c r="AD21" s="20"/>
      <c r="AE21" s="20"/>
      <c r="AF21" s="20"/>
      <c r="AG21" s="20"/>
      <c r="AH21" s="22"/>
      <c r="AI21" s="23"/>
      <c r="AJ21" s="22"/>
      <c r="AK21" s="24" t="str">
        <f>IF(B21="","",AI21*Paramètres!$B$4+AJ21)</f>
        <v/>
      </c>
      <c r="AL21" s="25"/>
      <c r="AM21" s="25"/>
      <c r="AN21" s="27"/>
    </row>
    <row r="22" spans="1:40" ht="15">
      <c r="A22" s="16" t="str">
        <f t="shared" si="0"/>
        <v/>
      </c>
      <c r="B22" s="17"/>
      <c r="C22" s="16" t="str">
        <f t="shared" si="1"/>
        <v/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9"/>
      <c r="R22" s="20"/>
      <c r="S22" s="20"/>
      <c r="T22" s="20"/>
      <c r="U22" s="20"/>
      <c r="V22" s="20"/>
      <c r="W22" s="20"/>
      <c r="X22" s="20"/>
      <c r="Y22" s="20"/>
      <c r="Z22" s="20"/>
      <c r="AA22" s="20" t="str">
        <f t="shared" si="2"/>
        <v/>
      </c>
      <c r="AB22" s="21">
        <f t="shared" si="3"/>
        <v>0</v>
      </c>
      <c r="AC22" s="20"/>
      <c r="AD22" s="20"/>
      <c r="AE22" s="20"/>
      <c r="AF22" s="20"/>
      <c r="AG22" s="20"/>
      <c r="AH22" s="22"/>
      <c r="AI22" s="23"/>
      <c r="AJ22" s="22"/>
      <c r="AK22" s="24" t="str">
        <f>IF(B22="","",AI22*Paramètres!$B$4+AJ22)</f>
        <v/>
      </c>
      <c r="AL22" s="25"/>
      <c r="AM22" s="25"/>
      <c r="AN22" s="27"/>
    </row>
    <row r="23" spans="1:40" ht="15">
      <c r="A23" s="16" t="str">
        <f t="shared" si="0"/>
        <v/>
      </c>
      <c r="B23" s="17"/>
      <c r="C23" s="16" t="str">
        <f t="shared" si="1"/>
        <v/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9"/>
      <c r="R23" s="20"/>
      <c r="S23" s="20"/>
      <c r="T23" s="20"/>
      <c r="U23" s="20"/>
      <c r="V23" s="20"/>
      <c r="W23" s="20"/>
      <c r="X23" s="20"/>
      <c r="Y23" s="20"/>
      <c r="Z23" s="20"/>
      <c r="AA23" s="20" t="str">
        <f t="shared" si="2"/>
        <v/>
      </c>
      <c r="AB23" s="21">
        <f t="shared" si="3"/>
        <v>0</v>
      </c>
      <c r="AC23" s="20"/>
      <c r="AD23" s="20"/>
      <c r="AE23" s="20"/>
      <c r="AF23" s="20"/>
      <c r="AG23" s="20"/>
      <c r="AH23" s="22"/>
      <c r="AI23" s="23"/>
      <c r="AJ23" s="22"/>
      <c r="AK23" s="24" t="str">
        <f>IF(B23="","",AI23*Paramètres!$B$4+AJ23)</f>
        <v/>
      </c>
      <c r="AL23" s="25"/>
      <c r="AM23" s="25"/>
      <c r="AN23" s="27"/>
    </row>
    <row r="24" spans="1:40" ht="15">
      <c r="A24" s="16" t="str">
        <f t="shared" si="0"/>
        <v/>
      </c>
      <c r="B24" s="17"/>
      <c r="C24" s="16" t="str">
        <f t="shared" si="1"/>
        <v/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9"/>
      <c r="R24" s="20"/>
      <c r="S24" s="20"/>
      <c r="T24" s="20"/>
      <c r="U24" s="20"/>
      <c r="V24" s="20"/>
      <c r="W24" s="20"/>
      <c r="X24" s="20"/>
      <c r="Y24" s="20"/>
      <c r="Z24" s="20"/>
      <c r="AA24" s="20" t="str">
        <f t="shared" si="2"/>
        <v/>
      </c>
      <c r="AB24" s="21">
        <f t="shared" si="3"/>
        <v>0</v>
      </c>
      <c r="AC24" s="20"/>
      <c r="AD24" s="20"/>
      <c r="AE24" s="20"/>
      <c r="AF24" s="20"/>
      <c r="AG24" s="20"/>
      <c r="AH24" s="22"/>
      <c r="AI24" s="23"/>
      <c r="AJ24" s="22"/>
      <c r="AK24" s="24" t="str">
        <f>IF(B24="","",AI24*Paramètres!$B$4+AJ24)</f>
        <v/>
      </c>
      <c r="AL24" s="25"/>
      <c r="AM24" s="25"/>
      <c r="AN24" s="27"/>
    </row>
    <row r="25" spans="1:40" ht="15">
      <c r="A25" s="16" t="str">
        <f t="shared" si="0"/>
        <v/>
      </c>
      <c r="B25" s="17"/>
      <c r="C25" s="16" t="str">
        <f t="shared" si="1"/>
        <v/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9"/>
      <c r="R25" s="20"/>
      <c r="S25" s="20"/>
      <c r="T25" s="20"/>
      <c r="U25" s="20"/>
      <c r="V25" s="20"/>
      <c r="W25" s="20"/>
      <c r="X25" s="20"/>
      <c r="Y25" s="20"/>
      <c r="Z25" s="20"/>
      <c r="AA25" s="20" t="str">
        <f t="shared" si="2"/>
        <v/>
      </c>
      <c r="AB25" s="21">
        <f t="shared" si="3"/>
        <v>0</v>
      </c>
      <c r="AC25" s="20"/>
      <c r="AD25" s="20"/>
      <c r="AE25" s="20"/>
      <c r="AF25" s="20"/>
      <c r="AG25" s="20"/>
      <c r="AH25" s="22"/>
      <c r="AI25" s="23"/>
      <c r="AJ25" s="22"/>
      <c r="AK25" s="24" t="str">
        <f>IF(B25="","",AI25*Paramètres!$B$4+AJ25)</f>
        <v/>
      </c>
      <c r="AL25" s="25"/>
      <c r="AM25" s="25"/>
      <c r="AN25" s="27"/>
    </row>
    <row r="26" spans="1:40" ht="15">
      <c r="A26" s="16" t="str">
        <f t="shared" si="0"/>
        <v/>
      </c>
      <c r="B26" s="17"/>
      <c r="C26" s="16" t="str">
        <f t="shared" si="1"/>
        <v/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9"/>
      <c r="R26" s="20"/>
      <c r="S26" s="20"/>
      <c r="T26" s="20"/>
      <c r="U26" s="20"/>
      <c r="V26" s="20"/>
      <c r="W26" s="20"/>
      <c r="X26" s="20"/>
      <c r="Y26" s="20"/>
      <c r="Z26" s="20"/>
      <c r="AA26" s="20" t="str">
        <f t="shared" si="2"/>
        <v/>
      </c>
      <c r="AB26" s="21">
        <f t="shared" si="3"/>
        <v>0</v>
      </c>
      <c r="AC26" s="20"/>
      <c r="AD26" s="20"/>
      <c r="AE26" s="20"/>
      <c r="AF26" s="20"/>
      <c r="AG26" s="20"/>
      <c r="AH26" s="22"/>
      <c r="AI26" s="23"/>
      <c r="AJ26" s="22"/>
      <c r="AK26" s="24" t="str">
        <f>IF(B26="","",AI26*Paramètres!$B$4+AJ26)</f>
        <v/>
      </c>
      <c r="AL26" s="25"/>
      <c r="AM26" s="25"/>
      <c r="AN26" s="27"/>
    </row>
    <row r="27" spans="1:40" ht="15">
      <c r="A27" s="16" t="str">
        <f t="shared" si="0"/>
        <v/>
      </c>
      <c r="B27" s="17"/>
      <c r="C27" s="16" t="str">
        <f t="shared" si="1"/>
        <v/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9"/>
      <c r="R27" s="20"/>
      <c r="S27" s="20"/>
      <c r="T27" s="20"/>
      <c r="U27" s="20"/>
      <c r="V27" s="20"/>
      <c r="W27" s="20"/>
      <c r="X27" s="20"/>
      <c r="Y27" s="20"/>
      <c r="Z27" s="20"/>
      <c r="AA27" s="20" t="str">
        <f t="shared" si="2"/>
        <v/>
      </c>
      <c r="AB27" s="21">
        <f t="shared" si="3"/>
        <v>0</v>
      </c>
      <c r="AC27" s="20"/>
      <c r="AD27" s="20"/>
      <c r="AE27" s="20"/>
      <c r="AF27" s="20"/>
      <c r="AG27" s="20"/>
      <c r="AH27" s="22"/>
      <c r="AI27" s="23"/>
      <c r="AJ27" s="22"/>
      <c r="AK27" s="24" t="str">
        <f>IF(B27="","",AI27*Paramètres!$B$4+AJ27)</f>
        <v/>
      </c>
      <c r="AL27" s="25"/>
      <c r="AM27" s="25"/>
      <c r="AN27" s="27"/>
    </row>
    <row r="28" spans="1:40" ht="15">
      <c r="A28" s="16" t="str">
        <f t="shared" si="0"/>
        <v/>
      </c>
      <c r="B28" s="17"/>
      <c r="C28" s="16" t="str">
        <f t="shared" si="1"/>
        <v/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9"/>
      <c r="R28" s="20"/>
      <c r="S28" s="20"/>
      <c r="T28" s="20"/>
      <c r="U28" s="20"/>
      <c r="V28" s="20"/>
      <c r="W28" s="20"/>
      <c r="X28" s="20"/>
      <c r="Y28" s="20"/>
      <c r="Z28" s="20"/>
      <c r="AA28" s="20" t="str">
        <f t="shared" si="2"/>
        <v/>
      </c>
      <c r="AB28" s="21">
        <f t="shared" si="3"/>
        <v>0</v>
      </c>
      <c r="AC28" s="20"/>
      <c r="AD28" s="20"/>
      <c r="AE28" s="20"/>
      <c r="AF28" s="20"/>
      <c r="AG28" s="20"/>
      <c r="AH28" s="22"/>
      <c r="AI28" s="23"/>
      <c r="AJ28" s="22"/>
      <c r="AK28" s="24" t="str">
        <f>IF(B28="","",AI28*Paramètres!$B$4+AJ28)</f>
        <v/>
      </c>
      <c r="AL28" s="25"/>
      <c r="AM28" s="25"/>
      <c r="AN28" s="27"/>
    </row>
    <row r="29" spans="1:40" ht="15">
      <c r="A29" s="16" t="str">
        <f t="shared" si="0"/>
        <v/>
      </c>
      <c r="B29" s="17"/>
      <c r="C29" s="16" t="str">
        <f t="shared" si="1"/>
        <v/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9"/>
      <c r="R29" s="20"/>
      <c r="S29" s="20"/>
      <c r="T29" s="20"/>
      <c r="U29" s="20"/>
      <c r="V29" s="20"/>
      <c r="W29" s="20"/>
      <c r="X29" s="20"/>
      <c r="Y29" s="20"/>
      <c r="Z29" s="20"/>
      <c r="AA29" s="20" t="str">
        <f t="shared" si="2"/>
        <v/>
      </c>
      <c r="AB29" s="21">
        <f t="shared" si="3"/>
        <v>0</v>
      </c>
      <c r="AC29" s="20"/>
      <c r="AD29" s="20"/>
      <c r="AE29" s="20"/>
      <c r="AF29" s="20"/>
      <c r="AG29" s="20"/>
      <c r="AH29" s="22"/>
      <c r="AI29" s="23"/>
      <c r="AJ29" s="22"/>
      <c r="AK29" s="24" t="str">
        <f>IF(B29="","",AI29*Paramètres!$B$4+AJ29)</f>
        <v/>
      </c>
      <c r="AL29" s="25"/>
      <c r="AM29" s="25"/>
      <c r="AN29" s="27"/>
    </row>
    <row r="30" spans="1:40" ht="15">
      <c r="A30" s="16" t="str">
        <f t="shared" si="0"/>
        <v/>
      </c>
      <c r="B30" s="17"/>
      <c r="C30" s="16" t="str">
        <f t="shared" si="1"/>
        <v/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9"/>
      <c r="R30" s="20"/>
      <c r="S30" s="20"/>
      <c r="T30" s="20"/>
      <c r="U30" s="20"/>
      <c r="V30" s="20"/>
      <c r="W30" s="20"/>
      <c r="X30" s="20"/>
      <c r="Y30" s="20"/>
      <c r="Z30" s="20"/>
      <c r="AA30" s="20" t="str">
        <f t="shared" si="2"/>
        <v/>
      </c>
      <c r="AB30" s="21">
        <f t="shared" si="3"/>
        <v>0</v>
      </c>
      <c r="AC30" s="20"/>
      <c r="AD30" s="20"/>
      <c r="AE30" s="20"/>
      <c r="AF30" s="20"/>
      <c r="AG30" s="20"/>
      <c r="AH30" s="22"/>
      <c r="AI30" s="23"/>
      <c r="AJ30" s="22"/>
      <c r="AK30" s="24" t="str">
        <f>IF(B30="","",AI30*Paramètres!$B$4+AJ30)</f>
        <v/>
      </c>
      <c r="AL30" s="25"/>
      <c r="AM30" s="25"/>
      <c r="AN30" s="27"/>
    </row>
    <row r="31" spans="1:40" ht="15">
      <c r="A31" s="16" t="str">
        <f t="shared" si="0"/>
        <v/>
      </c>
      <c r="B31" s="17"/>
      <c r="C31" s="16" t="str">
        <f t="shared" si="1"/>
        <v/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9"/>
      <c r="R31" s="20"/>
      <c r="S31" s="20"/>
      <c r="T31" s="20"/>
      <c r="U31" s="20"/>
      <c r="V31" s="20"/>
      <c r="W31" s="20"/>
      <c r="X31" s="20"/>
      <c r="Y31" s="20"/>
      <c r="Z31" s="20"/>
      <c r="AA31" s="20" t="str">
        <f t="shared" si="2"/>
        <v/>
      </c>
      <c r="AB31" s="21">
        <f t="shared" si="3"/>
        <v>0</v>
      </c>
      <c r="AC31" s="20"/>
      <c r="AD31" s="20"/>
      <c r="AE31" s="20"/>
      <c r="AF31" s="20"/>
      <c r="AG31" s="20"/>
      <c r="AH31" s="22"/>
      <c r="AI31" s="23"/>
      <c r="AJ31" s="22"/>
      <c r="AK31" s="24" t="str">
        <f>IF(B31="","",AI31*Paramètres!$B$4+AJ31)</f>
        <v/>
      </c>
      <c r="AL31" s="25"/>
      <c r="AM31" s="25"/>
      <c r="AN31" s="27"/>
    </row>
    <row r="32" spans="1:40" ht="15">
      <c r="A32" s="16" t="str">
        <f t="shared" si="0"/>
        <v/>
      </c>
      <c r="B32" s="17"/>
      <c r="C32" s="16" t="str">
        <f t="shared" si="1"/>
        <v/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9"/>
      <c r="R32" s="20"/>
      <c r="S32" s="20"/>
      <c r="T32" s="20"/>
      <c r="U32" s="20"/>
      <c r="V32" s="20"/>
      <c r="W32" s="20"/>
      <c r="X32" s="20"/>
      <c r="Y32" s="20"/>
      <c r="Z32" s="20"/>
      <c r="AA32" s="20" t="str">
        <f t="shared" si="2"/>
        <v/>
      </c>
      <c r="AB32" s="21">
        <f t="shared" si="3"/>
        <v>0</v>
      </c>
      <c r="AC32" s="20"/>
      <c r="AD32" s="20"/>
      <c r="AE32" s="20"/>
      <c r="AF32" s="20"/>
      <c r="AG32" s="20"/>
      <c r="AH32" s="22"/>
      <c r="AI32" s="23"/>
      <c r="AJ32" s="22"/>
      <c r="AK32" s="24" t="str">
        <f>IF(B32="","",AI32*Paramètres!$B$4+AJ32)</f>
        <v/>
      </c>
      <c r="AL32" s="25"/>
      <c r="AM32" s="25"/>
      <c r="AN32" s="27"/>
    </row>
    <row r="33" spans="1:40" ht="15">
      <c r="A33" s="16" t="str">
        <f t="shared" si="0"/>
        <v/>
      </c>
      <c r="B33" s="17"/>
      <c r="C33" s="16" t="str">
        <f t="shared" si="1"/>
        <v/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9"/>
      <c r="R33" s="20"/>
      <c r="S33" s="20"/>
      <c r="T33" s="20"/>
      <c r="U33" s="20"/>
      <c r="V33" s="20"/>
      <c r="W33" s="20"/>
      <c r="X33" s="20"/>
      <c r="Y33" s="20"/>
      <c r="Z33" s="20"/>
      <c r="AA33" s="20" t="str">
        <f t="shared" si="2"/>
        <v/>
      </c>
      <c r="AB33" s="21">
        <f t="shared" si="3"/>
        <v>0</v>
      </c>
      <c r="AC33" s="20"/>
      <c r="AD33" s="20"/>
      <c r="AE33" s="20"/>
      <c r="AF33" s="20"/>
      <c r="AG33" s="20"/>
      <c r="AH33" s="22"/>
      <c r="AI33" s="23"/>
      <c r="AJ33" s="22"/>
      <c r="AK33" s="24" t="str">
        <f>IF(B33="","",AI33*Paramètres!$B$4+AJ33)</f>
        <v/>
      </c>
      <c r="AL33" s="25"/>
      <c r="AM33" s="25"/>
      <c r="AN33" s="27"/>
    </row>
    <row r="34" spans="1:40" ht="15">
      <c r="A34" s="16" t="str">
        <f t="shared" si="0"/>
        <v/>
      </c>
      <c r="B34" s="17"/>
      <c r="C34" s="16" t="str">
        <f t="shared" si="1"/>
        <v/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9"/>
      <c r="R34" s="20"/>
      <c r="S34" s="20"/>
      <c r="T34" s="20"/>
      <c r="U34" s="20"/>
      <c r="V34" s="20"/>
      <c r="W34" s="20"/>
      <c r="X34" s="20"/>
      <c r="Y34" s="20"/>
      <c r="Z34" s="20"/>
      <c r="AA34" s="20" t="str">
        <f t="shared" si="2"/>
        <v/>
      </c>
      <c r="AB34" s="21">
        <f t="shared" si="3"/>
        <v>0</v>
      </c>
      <c r="AC34" s="20"/>
      <c r="AD34" s="20"/>
      <c r="AE34" s="20"/>
      <c r="AF34" s="20"/>
      <c r="AG34" s="20"/>
      <c r="AH34" s="22"/>
      <c r="AI34" s="23"/>
      <c r="AJ34" s="22"/>
      <c r="AK34" s="24" t="str">
        <f>IF(B34="","",AI34*Paramètres!$B$4+AJ34)</f>
        <v/>
      </c>
      <c r="AL34" s="25"/>
      <c r="AM34" s="25"/>
      <c r="AN34" s="27"/>
    </row>
    <row r="35" spans="1:40" ht="15">
      <c r="A35" s="16" t="str">
        <f t="shared" si="0"/>
        <v/>
      </c>
      <c r="B35" s="17"/>
      <c r="C35" s="16" t="str">
        <f t="shared" si="1"/>
        <v/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9"/>
      <c r="R35" s="20"/>
      <c r="S35" s="20"/>
      <c r="T35" s="20"/>
      <c r="U35" s="20"/>
      <c r="V35" s="20"/>
      <c r="W35" s="20"/>
      <c r="X35" s="20"/>
      <c r="Y35" s="20"/>
      <c r="Z35" s="20"/>
      <c r="AA35" s="20" t="str">
        <f t="shared" si="2"/>
        <v/>
      </c>
      <c r="AB35" s="21">
        <f t="shared" si="3"/>
        <v>0</v>
      </c>
      <c r="AC35" s="20"/>
      <c r="AD35" s="20"/>
      <c r="AE35" s="20"/>
      <c r="AF35" s="20"/>
      <c r="AG35" s="20"/>
      <c r="AH35" s="22"/>
      <c r="AI35" s="23"/>
      <c r="AJ35" s="22"/>
      <c r="AK35" s="24" t="str">
        <f>IF(B35="","",AI35*Paramètres!$B$4+AJ35)</f>
        <v/>
      </c>
      <c r="AL35" s="25"/>
      <c r="AM35" s="25"/>
      <c r="AN35" s="27"/>
    </row>
    <row r="36" spans="1:40" ht="15">
      <c r="A36" s="16" t="str">
        <f t="shared" si="0"/>
        <v/>
      </c>
      <c r="B36" s="17"/>
      <c r="C36" s="16" t="str">
        <f t="shared" si="1"/>
        <v/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9"/>
      <c r="R36" s="20"/>
      <c r="S36" s="20"/>
      <c r="T36" s="20"/>
      <c r="U36" s="20"/>
      <c r="V36" s="20"/>
      <c r="W36" s="20"/>
      <c r="X36" s="20"/>
      <c r="Y36" s="20"/>
      <c r="Z36" s="20"/>
      <c r="AA36" s="20" t="str">
        <f t="shared" si="2"/>
        <v/>
      </c>
      <c r="AB36" s="21">
        <f t="shared" si="3"/>
        <v>0</v>
      </c>
      <c r="AC36" s="20"/>
      <c r="AD36" s="20"/>
      <c r="AE36" s="20"/>
      <c r="AF36" s="20"/>
      <c r="AG36" s="20"/>
      <c r="AH36" s="22"/>
      <c r="AI36" s="23"/>
      <c r="AJ36" s="22"/>
      <c r="AK36" s="24" t="str">
        <f>IF(B36="","",AI36*Paramètres!$B$4+AJ36)</f>
        <v/>
      </c>
      <c r="AL36" s="25"/>
      <c r="AM36" s="25"/>
      <c r="AN36" s="27"/>
    </row>
    <row r="37" spans="1:40" ht="15">
      <c r="A37" s="16" t="str">
        <f t="shared" si="0"/>
        <v/>
      </c>
      <c r="B37" s="17"/>
      <c r="C37" s="16" t="str">
        <f t="shared" si="1"/>
        <v/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9"/>
      <c r="R37" s="20"/>
      <c r="S37" s="20"/>
      <c r="T37" s="20"/>
      <c r="U37" s="20"/>
      <c r="V37" s="20"/>
      <c r="W37" s="20"/>
      <c r="X37" s="20"/>
      <c r="Y37" s="20"/>
      <c r="Z37" s="20"/>
      <c r="AA37" s="20" t="str">
        <f t="shared" si="2"/>
        <v/>
      </c>
      <c r="AB37" s="21">
        <f t="shared" si="3"/>
        <v>0</v>
      </c>
      <c r="AC37" s="20"/>
      <c r="AD37" s="20"/>
      <c r="AE37" s="20"/>
      <c r="AF37" s="20"/>
      <c r="AG37" s="20"/>
      <c r="AH37" s="22"/>
      <c r="AI37" s="23"/>
      <c r="AJ37" s="22"/>
      <c r="AK37" s="24" t="str">
        <f>IF(B37="","",AI37*Paramètres!$B$4+AJ37)</f>
        <v/>
      </c>
      <c r="AL37" s="25"/>
      <c r="AM37" s="25"/>
      <c r="AN37" s="27"/>
    </row>
    <row r="38" spans="1:40" ht="15">
      <c r="A38" s="16" t="str">
        <f t="shared" si="0"/>
        <v/>
      </c>
      <c r="B38" s="17"/>
      <c r="C38" s="16" t="str">
        <f t="shared" si="1"/>
        <v/>
      </c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/>
      <c r="R38" s="20"/>
      <c r="S38" s="20"/>
      <c r="T38" s="20"/>
      <c r="U38" s="20"/>
      <c r="V38" s="20"/>
      <c r="W38" s="20"/>
      <c r="X38" s="20"/>
      <c r="Y38" s="20"/>
      <c r="Z38" s="20"/>
      <c r="AA38" s="20" t="str">
        <f t="shared" si="2"/>
        <v/>
      </c>
      <c r="AB38" s="21">
        <f t="shared" si="3"/>
        <v>0</v>
      </c>
      <c r="AC38" s="20"/>
      <c r="AD38" s="20"/>
      <c r="AE38" s="20"/>
      <c r="AF38" s="20"/>
      <c r="AG38" s="20"/>
      <c r="AH38" s="22"/>
      <c r="AI38" s="23"/>
      <c r="AJ38" s="22"/>
      <c r="AK38" s="24" t="str">
        <f>IF(B38="","",AI38*Paramètres!$B$4+AJ38)</f>
        <v/>
      </c>
      <c r="AL38" s="25"/>
      <c r="AM38" s="25"/>
      <c r="AN38" s="27"/>
    </row>
    <row r="39" spans="1:40" ht="15">
      <c r="A39" s="16" t="str">
        <f t="shared" si="0"/>
        <v/>
      </c>
      <c r="B39" s="17"/>
      <c r="C39" s="16" t="str">
        <f t="shared" si="1"/>
        <v/>
      </c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9"/>
      <c r="R39" s="20"/>
      <c r="S39" s="20"/>
      <c r="T39" s="20"/>
      <c r="U39" s="20"/>
      <c r="V39" s="20"/>
      <c r="W39" s="20"/>
      <c r="X39" s="20"/>
      <c r="Y39" s="20"/>
      <c r="Z39" s="20"/>
      <c r="AA39" s="20" t="str">
        <f t="shared" si="2"/>
        <v/>
      </c>
      <c r="AB39" s="21">
        <f t="shared" si="3"/>
        <v>0</v>
      </c>
      <c r="AC39" s="20"/>
      <c r="AD39" s="20"/>
      <c r="AE39" s="20"/>
      <c r="AF39" s="20"/>
      <c r="AG39" s="20"/>
      <c r="AH39" s="22"/>
      <c r="AI39" s="23"/>
      <c r="AJ39" s="22"/>
      <c r="AK39" s="24" t="str">
        <f>IF(B39="","",AI39*Paramètres!$B$4+AJ39)</f>
        <v/>
      </c>
      <c r="AL39" s="25"/>
      <c r="AM39" s="25"/>
      <c r="AN39" s="27"/>
    </row>
    <row r="40" spans="1:40" ht="15">
      <c r="A40" s="16" t="str">
        <f t="shared" si="0"/>
        <v/>
      </c>
      <c r="B40" s="17"/>
      <c r="C40" s="16" t="str">
        <f t="shared" si="1"/>
        <v/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9"/>
      <c r="R40" s="20"/>
      <c r="S40" s="20"/>
      <c r="T40" s="20"/>
      <c r="U40" s="20"/>
      <c r="V40" s="20"/>
      <c r="W40" s="20"/>
      <c r="X40" s="20"/>
      <c r="Y40" s="20"/>
      <c r="Z40" s="20"/>
      <c r="AA40" s="20" t="str">
        <f t="shared" si="2"/>
        <v/>
      </c>
      <c r="AB40" s="21">
        <f t="shared" si="3"/>
        <v>0</v>
      </c>
      <c r="AC40" s="20"/>
      <c r="AD40" s="20"/>
      <c r="AE40" s="20"/>
      <c r="AF40" s="20"/>
      <c r="AG40" s="20"/>
      <c r="AH40" s="22"/>
      <c r="AI40" s="23"/>
      <c r="AJ40" s="22"/>
      <c r="AK40" s="24" t="str">
        <f>IF(B40="","",AI40*Paramètres!$B$4+AJ40)</f>
        <v/>
      </c>
      <c r="AL40" s="25"/>
      <c r="AM40" s="25"/>
      <c r="AN40" s="27"/>
    </row>
    <row r="41" spans="1:40" ht="15">
      <c r="A41" s="16" t="str">
        <f t="shared" si="0"/>
        <v/>
      </c>
      <c r="B41" s="17"/>
      <c r="C41" s="16" t="str">
        <f t="shared" si="1"/>
        <v/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9"/>
      <c r="R41" s="20"/>
      <c r="S41" s="20"/>
      <c r="T41" s="20"/>
      <c r="U41" s="20"/>
      <c r="V41" s="20"/>
      <c r="W41" s="20"/>
      <c r="X41" s="20"/>
      <c r="Y41" s="20"/>
      <c r="Z41" s="20"/>
      <c r="AA41" s="20" t="str">
        <f t="shared" si="2"/>
        <v/>
      </c>
      <c r="AB41" s="21">
        <f t="shared" si="3"/>
        <v>0</v>
      </c>
      <c r="AC41" s="20"/>
      <c r="AD41" s="20"/>
      <c r="AE41" s="20"/>
      <c r="AF41" s="20"/>
      <c r="AG41" s="20"/>
      <c r="AH41" s="22"/>
      <c r="AI41" s="23"/>
      <c r="AJ41" s="22"/>
      <c r="AK41" s="24" t="str">
        <f>IF(B41="","",AI41*Paramètres!$B$4+AJ41)</f>
        <v/>
      </c>
      <c r="AL41" s="25"/>
      <c r="AM41" s="25"/>
      <c r="AN41" s="27"/>
    </row>
    <row r="42" spans="1:40" ht="15">
      <c r="A42" s="16" t="str">
        <f t="shared" si="0"/>
        <v/>
      </c>
      <c r="B42" s="17"/>
      <c r="C42" s="16" t="str">
        <f t="shared" si="1"/>
        <v/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9"/>
      <c r="R42" s="20"/>
      <c r="S42" s="20"/>
      <c r="T42" s="20"/>
      <c r="U42" s="20"/>
      <c r="V42" s="20"/>
      <c r="W42" s="20"/>
      <c r="X42" s="20"/>
      <c r="Y42" s="20"/>
      <c r="Z42" s="20"/>
      <c r="AA42" s="20" t="str">
        <f t="shared" si="2"/>
        <v/>
      </c>
      <c r="AB42" s="21">
        <f t="shared" si="3"/>
        <v>0</v>
      </c>
      <c r="AC42" s="20"/>
      <c r="AD42" s="20"/>
      <c r="AE42" s="20"/>
      <c r="AF42" s="20"/>
      <c r="AG42" s="20"/>
      <c r="AH42" s="22"/>
      <c r="AI42" s="23"/>
      <c r="AJ42" s="22"/>
      <c r="AK42" s="24" t="str">
        <f>IF(B42="","",AI42*Paramètres!$B$4+AJ42)</f>
        <v/>
      </c>
      <c r="AL42" s="25"/>
      <c r="AM42" s="25"/>
      <c r="AN42" s="27"/>
    </row>
    <row r="43" spans="1:40" ht="15">
      <c r="A43" s="16" t="str">
        <f t="shared" si="0"/>
        <v/>
      </c>
      <c r="B43" s="17"/>
      <c r="C43" s="16" t="str">
        <f t="shared" si="1"/>
        <v/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9"/>
      <c r="R43" s="20"/>
      <c r="S43" s="20"/>
      <c r="T43" s="20"/>
      <c r="U43" s="20"/>
      <c r="V43" s="20"/>
      <c r="W43" s="20"/>
      <c r="X43" s="20"/>
      <c r="Y43" s="20"/>
      <c r="Z43" s="20"/>
      <c r="AA43" s="20" t="str">
        <f t="shared" si="2"/>
        <v/>
      </c>
      <c r="AB43" s="21">
        <f t="shared" si="3"/>
        <v>0</v>
      </c>
      <c r="AC43" s="20"/>
      <c r="AD43" s="20"/>
      <c r="AE43" s="20"/>
      <c r="AF43" s="20"/>
      <c r="AG43" s="20"/>
      <c r="AH43" s="22"/>
      <c r="AI43" s="23"/>
      <c r="AJ43" s="22"/>
      <c r="AK43" s="24" t="str">
        <f>IF(B43="","",AI43*Paramètres!$B$4+AJ43)</f>
        <v/>
      </c>
      <c r="AL43" s="25"/>
      <c r="AM43" s="25"/>
      <c r="AN43" s="27"/>
    </row>
    <row r="44" spans="1:40" ht="15">
      <c r="A44" s="16" t="str">
        <f t="shared" si="0"/>
        <v/>
      </c>
      <c r="B44" s="17"/>
      <c r="C44" s="16" t="str">
        <f t="shared" si="1"/>
        <v/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9"/>
      <c r="R44" s="20"/>
      <c r="S44" s="20"/>
      <c r="T44" s="20"/>
      <c r="U44" s="20"/>
      <c r="V44" s="20"/>
      <c r="W44" s="20"/>
      <c r="X44" s="20"/>
      <c r="Y44" s="20"/>
      <c r="Z44" s="20"/>
      <c r="AA44" s="20" t="str">
        <f t="shared" si="2"/>
        <v/>
      </c>
      <c r="AB44" s="21">
        <f t="shared" si="3"/>
        <v>0</v>
      </c>
      <c r="AC44" s="20"/>
      <c r="AD44" s="20"/>
      <c r="AE44" s="20"/>
      <c r="AF44" s="20"/>
      <c r="AG44" s="20"/>
      <c r="AH44" s="22"/>
      <c r="AI44" s="23"/>
      <c r="AJ44" s="22"/>
      <c r="AK44" s="24" t="str">
        <f>IF(B44="","",AI44*Paramètres!$B$4+AJ44)</f>
        <v/>
      </c>
      <c r="AL44" s="25"/>
      <c r="AM44" s="25"/>
      <c r="AN44" s="27"/>
    </row>
    <row r="45" spans="1:40" ht="15">
      <c r="A45" s="16" t="str">
        <f t="shared" si="0"/>
        <v/>
      </c>
      <c r="B45" s="17"/>
      <c r="C45" s="16" t="str">
        <f t="shared" si="1"/>
        <v/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9"/>
      <c r="R45" s="20"/>
      <c r="S45" s="20"/>
      <c r="T45" s="20"/>
      <c r="U45" s="20"/>
      <c r="V45" s="20"/>
      <c r="W45" s="20"/>
      <c r="X45" s="20"/>
      <c r="Y45" s="20"/>
      <c r="Z45" s="20"/>
      <c r="AA45" s="20" t="str">
        <f t="shared" si="2"/>
        <v/>
      </c>
      <c r="AB45" s="21">
        <f t="shared" si="3"/>
        <v>0</v>
      </c>
      <c r="AC45" s="20"/>
      <c r="AD45" s="20"/>
      <c r="AE45" s="20"/>
      <c r="AF45" s="20"/>
      <c r="AG45" s="20"/>
      <c r="AH45" s="22"/>
      <c r="AI45" s="23"/>
      <c r="AJ45" s="22"/>
      <c r="AK45" s="24" t="str">
        <f>IF(B45="","",AI45*Paramètres!$B$4+AJ45)</f>
        <v/>
      </c>
      <c r="AL45" s="25"/>
      <c r="AM45" s="25"/>
      <c r="AN45" s="27"/>
    </row>
    <row r="46" spans="1:40" ht="15">
      <c r="A46" s="16" t="str">
        <f t="shared" si="0"/>
        <v/>
      </c>
      <c r="B46" s="17"/>
      <c r="C46" s="16" t="str">
        <f t="shared" si="1"/>
        <v/>
      </c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9"/>
      <c r="R46" s="20"/>
      <c r="S46" s="20"/>
      <c r="T46" s="20"/>
      <c r="U46" s="20"/>
      <c r="V46" s="20"/>
      <c r="W46" s="20"/>
      <c r="X46" s="20"/>
      <c r="Y46" s="20"/>
      <c r="Z46" s="20"/>
      <c r="AA46" s="20" t="str">
        <f t="shared" si="2"/>
        <v/>
      </c>
      <c r="AB46" s="21">
        <f t="shared" si="3"/>
        <v>0</v>
      </c>
      <c r="AC46" s="20"/>
      <c r="AD46" s="20"/>
      <c r="AE46" s="20"/>
      <c r="AF46" s="20"/>
      <c r="AG46" s="20"/>
      <c r="AH46" s="22"/>
      <c r="AI46" s="23"/>
      <c r="AJ46" s="22"/>
      <c r="AK46" s="24" t="str">
        <f>IF(B46="","",AI46*Paramètres!$B$4+AJ46)</f>
        <v/>
      </c>
      <c r="AL46" s="25"/>
      <c r="AM46" s="25"/>
      <c r="AN46" s="27"/>
    </row>
    <row r="47" spans="1:40" ht="15">
      <c r="A47" s="16" t="str">
        <f t="shared" si="0"/>
        <v/>
      </c>
      <c r="B47" s="17"/>
      <c r="C47" s="16" t="str">
        <f t="shared" si="1"/>
        <v/>
      </c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9"/>
      <c r="R47" s="20"/>
      <c r="S47" s="20"/>
      <c r="T47" s="20"/>
      <c r="U47" s="20"/>
      <c r="V47" s="20"/>
      <c r="W47" s="20"/>
      <c r="X47" s="20"/>
      <c r="Y47" s="20"/>
      <c r="Z47" s="20"/>
      <c r="AA47" s="20" t="str">
        <f t="shared" si="2"/>
        <v/>
      </c>
      <c r="AB47" s="21">
        <f t="shared" si="3"/>
        <v>0</v>
      </c>
      <c r="AC47" s="20"/>
      <c r="AD47" s="20"/>
      <c r="AE47" s="20"/>
      <c r="AF47" s="20"/>
      <c r="AG47" s="20"/>
      <c r="AH47" s="22"/>
      <c r="AI47" s="23"/>
      <c r="AJ47" s="22"/>
      <c r="AK47" s="24" t="str">
        <f>IF(B47="","",AI47*Paramètres!$B$4+AJ47)</f>
        <v/>
      </c>
      <c r="AL47" s="25"/>
      <c r="AM47" s="25"/>
      <c r="AN47" s="27"/>
    </row>
    <row r="48" spans="1:40" ht="15">
      <c r="A48" s="16" t="str">
        <f t="shared" si="0"/>
        <v/>
      </c>
      <c r="B48" s="17"/>
      <c r="C48" s="16" t="str">
        <f t="shared" si="1"/>
        <v/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9"/>
      <c r="R48" s="20"/>
      <c r="S48" s="20"/>
      <c r="T48" s="20"/>
      <c r="U48" s="20"/>
      <c r="V48" s="20"/>
      <c r="W48" s="20"/>
      <c r="X48" s="20"/>
      <c r="Y48" s="20"/>
      <c r="Z48" s="20"/>
      <c r="AA48" s="20" t="str">
        <f t="shared" si="2"/>
        <v/>
      </c>
      <c r="AB48" s="21">
        <f t="shared" si="3"/>
        <v>0</v>
      </c>
      <c r="AC48" s="20"/>
      <c r="AD48" s="20"/>
      <c r="AE48" s="20"/>
      <c r="AF48" s="20"/>
      <c r="AG48" s="20"/>
      <c r="AH48" s="22"/>
      <c r="AI48" s="23"/>
      <c r="AJ48" s="22"/>
      <c r="AK48" s="24" t="str">
        <f>IF(B48="","",AI48*Paramètres!$B$4+AJ48)</f>
        <v/>
      </c>
      <c r="AL48" s="25"/>
      <c r="AM48" s="25"/>
      <c r="AN48" s="27"/>
    </row>
    <row r="49" spans="1:40" ht="15">
      <c r="A49" s="16" t="str">
        <f t="shared" si="0"/>
        <v/>
      </c>
      <c r="B49" s="17"/>
      <c r="C49" s="16" t="str">
        <f t="shared" si="1"/>
        <v/>
      </c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9"/>
      <c r="R49" s="20"/>
      <c r="S49" s="20"/>
      <c r="T49" s="20"/>
      <c r="U49" s="20"/>
      <c r="V49" s="20"/>
      <c r="W49" s="20"/>
      <c r="X49" s="20"/>
      <c r="Y49" s="20"/>
      <c r="Z49" s="20"/>
      <c r="AA49" s="20" t="str">
        <f t="shared" si="2"/>
        <v/>
      </c>
      <c r="AB49" s="21">
        <f t="shared" si="3"/>
        <v>0</v>
      </c>
      <c r="AC49" s="20"/>
      <c r="AD49" s="20"/>
      <c r="AE49" s="20"/>
      <c r="AF49" s="20"/>
      <c r="AG49" s="20"/>
      <c r="AH49" s="22"/>
      <c r="AI49" s="23"/>
      <c r="AJ49" s="22"/>
      <c r="AK49" s="24" t="str">
        <f>IF(B49="","",AI49*Paramètres!$B$4+AJ49)</f>
        <v/>
      </c>
      <c r="AL49" s="25"/>
      <c r="AM49" s="25"/>
      <c r="AN49" s="27"/>
    </row>
    <row r="50" spans="1:40" ht="15">
      <c r="A50" s="16" t="str">
        <f t="shared" si="0"/>
        <v/>
      </c>
      <c r="B50" s="17"/>
      <c r="C50" s="16" t="str">
        <f t="shared" si="1"/>
        <v/>
      </c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9"/>
      <c r="R50" s="20"/>
      <c r="S50" s="20"/>
      <c r="T50" s="20"/>
      <c r="U50" s="20"/>
      <c r="V50" s="20"/>
      <c r="W50" s="20"/>
      <c r="X50" s="20"/>
      <c r="Y50" s="20"/>
      <c r="Z50" s="20"/>
      <c r="AA50" s="20" t="str">
        <f t="shared" si="2"/>
        <v/>
      </c>
      <c r="AB50" s="21">
        <f t="shared" si="3"/>
        <v>0</v>
      </c>
      <c r="AC50" s="20"/>
      <c r="AD50" s="20"/>
      <c r="AE50" s="20"/>
      <c r="AF50" s="20"/>
      <c r="AG50" s="20"/>
      <c r="AH50" s="22"/>
      <c r="AI50" s="23"/>
      <c r="AJ50" s="22"/>
      <c r="AK50" s="24" t="str">
        <f>IF(B50="","",AI50*Paramètres!$B$4+AJ50)</f>
        <v/>
      </c>
      <c r="AL50" s="25"/>
      <c r="AM50" s="25"/>
      <c r="AN50" s="27"/>
    </row>
    <row r="51" spans="1:40" ht="15">
      <c r="A51" s="16" t="str">
        <f t="shared" si="0"/>
        <v/>
      </c>
      <c r="B51" s="17"/>
      <c r="C51" s="16" t="str">
        <f t="shared" si="1"/>
        <v/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9"/>
      <c r="R51" s="20"/>
      <c r="S51" s="20"/>
      <c r="T51" s="20"/>
      <c r="U51" s="20"/>
      <c r="V51" s="20"/>
      <c r="W51" s="20"/>
      <c r="X51" s="20"/>
      <c r="Y51" s="20"/>
      <c r="Z51" s="20"/>
      <c r="AA51" s="20" t="str">
        <f t="shared" si="2"/>
        <v/>
      </c>
      <c r="AB51" s="21">
        <f t="shared" si="3"/>
        <v>0</v>
      </c>
      <c r="AC51" s="20"/>
      <c r="AD51" s="20"/>
      <c r="AE51" s="20"/>
      <c r="AF51" s="20"/>
      <c r="AG51" s="20"/>
      <c r="AH51" s="22"/>
      <c r="AI51" s="23"/>
      <c r="AJ51" s="22"/>
      <c r="AK51" s="24" t="str">
        <f>IF(B51="","",AI51*Paramètres!$B$4+AJ51)</f>
        <v/>
      </c>
      <c r="AL51" s="25"/>
      <c r="AM51" s="25"/>
      <c r="AN51" s="27"/>
    </row>
    <row r="52" spans="1:40" ht="15">
      <c r="A52" s="16" t="str">
        <f t="shared" si="0"/>
        <v/>
      </c>
      <c r="B52" s="17"/>
      <c r="C52" s="16" t="str">
        <f t="shared" si="1"/>
        <v/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9"/>
      <c r="R52" s="20"/>
      <c r="S52" s="20"/>
      <c r="T52" s="20"/>
      <c r="U52" s="20"/>
      <c r="V52" s="20"/>
      <c r="W52" s="20"/>
      <c r="X52" s="20"/>
      <c r="Y52" s="20"/>
      <c r="Z52" s="20"/>
      <c r="AA52" s="20" t="str">
        <f t="shared" si="2"/>
        <v/>
      </c>
      <c r="AB52" s="21">
        <f t="shared" si="3"/>
        <v>0</v>
      </c>
      <c r="AC52" s="20"/>
      <c r="AD52" s="20"/>
      <c r="AE52" s="20"/>
      <c r="AF52" s="20"/>
      <c r="AG52" s="20"/>
      <c r="AH52" s="22"/>
      <c r="AI52" s="23"/>
      <c r="AJ52" s="22"/>
      <c r="AK52" s="24" t="str">
        <f>IF(B52="","",AI52*Paramètres!$B$4+AJ52)</f>
        <v/>
      </c>
      <c r="AL52" s="25"/>
      <c r="AM52" s="25"/>
      <c r="AN52" s="27"/>
    </row>
    <row r="53" spans="1:40" ht="15">
      <c r="A53" s="16" t="str">
        <f t="shared" si="0"/>
        <v/>
      </c>
      <c r="B53" s="17"/>
      <c r="C53" s="16" t="str">
        <f t="shared" si="1"/>
        <v/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9"/>
      <c r="R53" s="20"/>
      <c r="S53" s="20"/>
      <c r="T53" s="20"/>
      <c r="U53" s="20"/>
      <c r="V53" s="20"/>
      <c r="W53" s="20"/>
      <c r="X53" s="20"/>
      <c r="Y53" s="20"/>
      <c r="Z53" s="20"/>
      <c r="AA53" s="20" t="str">
        <f t="shared" si="2"/>
        <v/>
      </c>
      <c r="AB53" s="21">
        <f t="shared" si="3"/>
        <v>0</v>
      </c>
      <c r="AC53" s="20"/>
      <c r="AD53" s="20"/>
      <c r="AE53" s="20"/>
      <c r="AF53" s="20"/>
      <c r="AG53" s="20"/>
      <c r="AH53" s="22"/>
      <c r="AI53" s="23"/>
      <c r="AJ53" s="22"/>
      <c r="AK53" s="24" t="str">
        <f>IF(B53="","",AI53*Paramètres!$B$4+AJ53)</f>
        <v/>
      </c>
      <c r="AL53" s="25"/>
      <c r="AM53" s="25"/>
      <c r="AN53" s="27"/>
    </row>
    <row r="54" spans="1:40" ht="15">
      <c r="A54" s="16" t="str">
        <f t="shared" si="0"/>
        <v/>
      </c>
      <c r="B54" s="17"/>
      <c r="C54" s="16" t="str">
        <f t="shared" si="1"/>
        <v/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9"/>
      <c r="R54" s="20"/>
      <c r="S54" s="20"/>
      <c r="T54" s="20"/>
      <c r="U54" s="20"/>
      <c r="V54" s="20"/>
      <c r="W54" s="20"/>
      <c r="X54" s="20"/>
      <c r="Y54" s="20"/>
      <c r="Z54" s="20"/>
      <c r="AA54" s="20" t="str">
        <f t="shared" si="2"/>
        <v/>
      </c>
      <c r="AB54" s="21">
        <f t="shared" si="3"/>
        <v>0</v>
      </c>
      <c r="AC54" s="20"/>
      <c r="AD54" s="20"/>
      <c r="AE54" s="20"/>
      <c r="AF54" s="20"/>
      <c r="AG54" s="20"/>
      <c r="AH54" s="22"/>
      <c r="AI54" s="23"/>
      <c r="AJ54" s="22"/>
      <c r="AK54" s="24" t="str">
        <f>IF(B54="","",AI54*Paramètres!$B$4+AJ54)</f>
        <v/>
      </c>
      <c r="AL54" s="25"/>
      <c r="AM54" s="25"/>
      <c r="AN54" s="27"/>
    </row>
    <row r="55" spans="1:40" ht="15">
      <c r="A55" s="16" t="str">
        <f t="shared" si="0"/>
        <v/>
      </c>
      <c r="B55" s="17"/>
      <c r="C55" s="16" t="str">
        <f t="shared" si="1"/>
        <v/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9"/>
      <c r="R55" s="20"/>
      <c r="S55" s="20"/>
      <c r="T55" s="20"/>
      <c r="U55" s="20"/>
      <c r="V55" s="20"/>
      <c r="W55" s="20"/>
      <c r="X55" s="20"/>
      <c r="Y55" s="20"/>
      <c r="Z55" s="20"/>
      <c r="AA55" s="20" t="str">
        <f t="shared" si="2"/>
        <v/>
      </c>
      <c r="AB55" s="21">
        <f t="shared" si="3"/>
        <v>0</v>
      </c>
      <c r="AC55" s="20"/>
      <c r="AD55" s="20"/>
      <c r="AE55" s="20"/>
      <c r="AF55" s="20"/>
      <c r="AG55" s="20"/>
      <c r="AH55" s="22"/>
      <c r="AI55" s="23"/>
      <c r="AJ55" s="22"/>
      <c r="AK55" s="24" t="str">
        <f>IF(B55="","",AI55*Paramètres!$B$4+AJ55)</f>
        <v/>
      </c>
      <c r="AL55" s="25"/>
      <c r="AM55" s="25"/>
      <c r="AN55" s="27"/>
    </row>
    <row r="56" spans="1:40" ht="15">
      <c r="A56" s="16" t="str">
        <f t="shared" si="0"/>
        <v/>
      </c>
      <c r="B56" s="17"/>
      <c r="C56" s="16" t="str">
        <f t="shared" si="1"/>
        <v/>
      </c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9"/>
      <c r="R56" s="20"/>
      <c r="S56" s="20"/>
      <c r="T56" s="20"/>
      <c r="U56" s="20"/>
      <c r="V56" s="20"/>
      <c r="W56" s="20"/>
      <c r="X56" s="20"/>
      <c r="Y56" s="20"/>
      <c r="Z56" s="20"/>
      <c r="AA56" s="20" t="str">
        <f t="shared" si="2"/>
        <v/>
      </c>
      <c r="AB56" s="21">
        <f t="shared" si="3"/>
        <v>0</v>
      </c>
      <c r="AC56" s="20"/>
      <c r="AD56" s="20"/>
      <c r="AE56" s="20"/>
      <c r="AF56" s="20"/>
      <c r="AG56" s="20"/>
      <c r="AH56" s="22"/>
      <c r="AI56" s="23"/>
      <c r="AJ56" s="22"/>
      <c r="AK56" s="24" t="str">
        <f>IF(B56="","",AI56*Paramètres!$B$4+AJ56)</f>
        <v/>
      </c>
      <c r="AL56" s="25"/>
      <c r="AM56" s="25"/>
      <c r="AN56" s="27"/>
    </row>
    <row r="57" spans="1:40" ht="15">
      <c r="A57" s="16" t="str">
        <f t="shared" si="0"/>
        <v/>
      </c>
      <c r="B57" s="17"/>
      <c r="C57" s="16" t="str">
        <f t="shared" si="1"/>
        <v/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9"/>
      <c r="R57" s="20"/>
      <c r="S57" s="20"/>
      <c r="T57" s="20"/>
      <c r="U57" s="20"/>
      <c r="V57" s="20"/>
      <c r="W57" s="20"/>
      <c r="X57" s="20"/>
      <c r="Y57" s="20"/>
      <c r="Z57" s="20"/>
      <c r="AA57" s="20" t="str">
        <f t="shared" si="2"/>
        <v/>
      </c>
      <c r="AB57" s="21">
        <f t="shared" si="3"/>
        <v>0</v>
      </c>
      <c r="AC57" s="20"/>
      <c r="AD57" s="20"/>
      <c r="AE57" s="20"/>
      <c r="AF57" s="20"/>
      <c r="AG57" s="20"/>
      <c r="AH57" s="22"/>
      <c r="AI57" s="23"/>
      <c r="AJ57" s="22"/>
      <c r="AK57" s="24" t="str">
        <f>IF(B57="","",AI57*Paramètres!$B$4+AJ57)</f>
        <v/>
      </c>
      <c r="AL57" s="25"/>
      <c r="AM57" s="25"/>
      <c r="AN57" s="27"/>
    </row>
    <row r="58" spans="1:40" ht="15">
      <c r="A58" s="16" t="str">
        <f t="shared" si="0"/>
        <v/>
      </c>
      <c r="B58" s="17"/>
      <c r="C58" s="16" t="str">
        <f t="shared" si="1"/>
        <v/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9"/>
      <c r="R58" s="20"/>
      <c r="S58" s="20"/>
      <c r="T58" s="20"/>
      <c r="U58" s="20"/>
      <c r="V58" s="20"/>
      <c r="W58" s="20"/>
      <c r="X58" s="20"/>
      <c r="Y58" s="20"/>
      <c r="Z58" s="20"/>
      <c r="AA58" s="20" t="str">
        <f t="shared" si="2"/>
        <v/>
      </c>
      <c r="AB58" s="21">
        <f t="shared" si="3"/>
        <v>0</v>
      </c>
      <c r="AC58" s="20"/>
      <c r="AD58" s="20"/>
      <c r="AE58" s="20"/>
      <c r="AF58" s="20"/>
      <c r="AG58" s="20"/>
      <c r="AH58" s="22"/>
      <c r="AI58" s="23"/>
      <c r="AJ58" s="22"/>
      <c r="AK58" s="24" t="str">
        <f>IF(B58="","",AI58*Paramètres!$B$4+AJ58)</f>
        <v/>
      </c>
      <c r="AL58" s="25"/>
      <c r="AM58" s="25"/>
      <c r="AN58" s="27"/>
    </row>
    <row r="59" spans="1:40" ht="15">
      <c r="A59" s="16" t="str">
        <f t="shared" si="0"/>
        <v/>
      </c>
      <c r="B59" s="17"/>
      <c r="C59" s="16" t="str">
        <f t="shared" si="1"/>
        <v/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9"/>
      <c r="R59" s="20"/>
      <c r="S59" s="20"/>
      <c r="T59" s="20"/>
      <c r="U59" s="20"/>
      <c r="V59" s="20"/>
      <c r="W59" s="20"/>
      <c r="X59" s="20"/>
      <c r="Y59" s="20"/>
      <c r="Z59" s="20"/>
      <c r="AA59" s="20" t="str">
        <f t="shared" si="2"/>
        <v/>
      </c>
      <c r="AB59" s="21">
        <f t="shared" si="3"/>
        <v>0</v>
      </c>
      <c r="AC59" s="20"/>
      <c r="AD59" s="20"/>
      <c r="AE59" s="20"/>
      <c r="AF59" s="20"/>
      <c r="AG59" s="20"/>
      <c r="AH59" s="22"/>
      <c r="AI59" s="23"/>
      <c r="AJ59" s="22"/>
      <c r="AK59" s="24" t="str">
        <f>IF(B59="","",AI59*Paramètres!$B$4+AJ59)</f>
        <v/>
      </c>
      <c r="AL59" s="25"/>
      <c r="AM59" s="25"/>
      <c r="AN59" s="27"/>
    </row>
    <row r="60" spans="1:40" ht="15">
      <c r="A60" s="16" t="str">
        <f t="shared" si="0"/>
        <v/>
      </c>
      <c r="B60" s="17"/>
      <c r="C60" s="16" t="str">
        <f t="shared" si="1"/>
        <v/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9"/>
      <c r="R60" s="20"/>
      <c r="S60" s="20"/>
      <c r="T60" s="20"/>
      <c r="U60" s="20"/>
      <c r="V60" s="20"/>
      <c r="W60" s="20"/>
      <c r="X60" s="20"/>
      <c r="Y60" s="20"/>
      <c r="Z60" s="20"/>
      <c r="AA60" s="20" t="str">
        <f t="shared" si="2"/>
        <v/>
      </c>
      <c r="AB60" s="21">
        <f t="shared" si="3"/>
        <v>0</v>
      </c>
      <c r="AC60" s="20"/>
      <c r="AD60" s="20"/>
      <c r="AE60" s="20"/>
      <c r="AF60" s="20"/>
      <c r="AG60" s="20"/>
      <c r="AH60" s="22"/>
      <c r="AI60" s="23"/>
      <c r="AJ60" s="22"/>
      <c r="AK60" s="24" t="str">
        <f>IF(B60="","",AI60*Paramètres!$B$4+AJ60)</f>
        <v/>
      </c>
      <c r="AL60" s="25"/>
      <c r="AM60" s="25"/>
      <c r="AN60" s="27"/>
    </row>
    <row r="61" spans="1:40" ht="15">
      <c r="A61" s="16" t="str">
        <f t="shared" si="0"/>
        <v/>
      </c>
      <c r="B61" s="17"/>
      <c r="C61" s="16" t="str">
        <f t="shared" si="1"/>
        <v/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9"/>
      <c r="R61" s="20"/>
      <c r="S61" s="20"/>
      <c r="T61" s="20"/>
      <c r="U61" s="20"/>
      <c r="V61" s="20"/>
      <c r="W61" s="20"/>
      <c r="X61" s="20"/>
      <c r="Y61" s="20"/>
      <c r="Z61" s="20"/>
      <c r="AA61" s="20" t="str">
        <f t="shared" si="2"/>
        <v/>
      </c>
      <c r="AB61" s="21">
        <f t="shared" si="3"/>
        <v>0</v>
      </c>
      <c r="AC61" s="20"/>
      <c r="AD61" s="20"/>
      <c r="AE61" s="20"/>
      <c r="AF61" s="20"/>
      <c r="AG61" s="20"/>
      <c r="AH61" s="22"/>
      <c r="AI61" s="23"/>
      <c r="AJ61" s="22"/>
      <c r="AK61" s="24" t="str">
        <f>IF(B61="","",AI61*Paramètres!$B$4+AJ61)</f>
        <v/>
      </c>
      <c r="AL61" s="25"/>
      <c r="AM61" s="25"/>
      <c r="AN61" s="27"/>
    </row>
    <row r="62" spans="1:40" ht="15">
      <c r="A62" s="16" t="str">
        <f t="shared" si="0"/>
        <v/>
      </c>
      <c r="B62" s="17"/>
      <c r="C62" s="16" t="str">
        <f t="shared" si="1"/>
        <v/>
      </c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9"/>
      <c r="R62" s="20"/>
      <c r="S62" s="20"/>
      <c r="T62" s="20"/>
      <c r="U62" s="20"/>
      <c r="V62" s="20"/>
      <c r="W62" s="20"/>
      <c r="X62" s="20"/>
      <c r="Y62" s="20"/>
      <c r="Z62" s="20"/>
      <c r="AA62" s="20" t="str">
        <f t="shared" si="2"/>
        <v/>
      </c>
      <c r="AB62" s="21">
        <f t="shared" si="3"/>
        <v>0</v>
      </c>
      <c r="AC62" s="20"/>
      <c r="AD62" s="20"/>
      <c r="AE62" s="20"/>
      <c r="AF62" s="20"/>
      <c r="AG62" s="20"/>
      <c r="AH62" s="22"/>
      <c r="AI62" s="23"/>
      <c r="AJ62" s="22"/>
      <c r="AK62" s="24" t="str">
        <f>IF(B62="","",AI62*Paramètres!$B$4+AJ62)</f>
        <v/>
      </c>
      <c r="AL62" s="25"/>
      <c r="AM62" s="25"/>
      <c r="AN62" s="27"/>
    </row>
    <row r="63" spans="1:40" ht="15">
      <c r="A63" s="16" t="str">
        <f t="shared" si="0"/>
        <v/>
      </c>
      <c r="B63" s="17"/>
      <c r="C63" s="16" t="str">
        <f t="shared" si="1"/>
        <v/>
      </c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9"/>
      <c r="R63" s="20"/>
      <c r="S63" s="20"/>
      <c r="T63" s="20"/>
      <c r="U63" s="20"/>
      <c r="V63" s="20"/>
      <c r="W63" s="20"/>
      <c r="X63" s="20"/>
      <c r="Y63" s="20"/>
      <c r="Z63" s="20"/>
      <c r="AA63" s="20" t="str">
        <f t="shared" si="2"/>
        <v/>
      </c>
      <c r="AB63" s="21">
        <f t="shared" si="3"/>
        <v>0</v>
      </c>
      <c r="AC63" s="20"/>
      <c r="AD63" s="20"/>
      <c r="AE63" s="20"/>
      <c r="AF63" s="20"/>
      <c r="AG63" s="20"/>
      <c r="AH63" s="22"/>
      <c r="AI63" s="23"/>
      <c r="AJ63" s="22"/>
      <c r="AK63" s="24" t="str">
        <f>IF(B63="","",AI63*Paramètres!$B$4+AJ63)</f>
        <v/>
      </c>
      <c r="AL63" s="25"/>
      <c r="AM63" s="25"/>
      <c r="AN63" s="27"/>
    </row>
    <row r="64" spans="1:40" ht="15">
      <c r="A64" s="16" t="str">
        <f t="shared" si="0"/>
        <v/>
      </c>
      <c r="B64" s="17"/>
      <c r="C64" s="16" t="str">
        <f t="shared" si="1"/>
        <v/>
      </c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9"/>
      <c r="R64" s="20"/>
      <c r="S64" s="20"/>
      <c r="T64" s="20"/>
      <c r="U64" s="20"/>
      <c r="V64" s="20"/>
      <c r="W64" s="20"/>
      <c r="X64" s="20"/>
      <c r="Y64" s="20"/>
      <c r="Z64" s="20"/>
      <c r="AA64" s="20" t="str">
        <f t="shared" si="2"/>
        <v/>
      </c>
      <c r="AB64" s="21">
        <f t="shared" si="3"/>
        <v>0</v>
      </c>
      <c r="AC64" s="20"/>
      <c r="AD64" s="20"/>
      <c r="AE64" s="20"/>
      <c r="AF64" s="20"/>
      <c r="AG64" s="20"/>
      <c r="AH64" s="22"/>
      <c r="AI64" s="23"/>
      <c r="AJ64" s="22"/>
      <c r="AK64" s="24" t="str">
        <f>IF(B64="","",AI64*Paramètres!$B$4+AJ64)</f>
        <v/>
      </c>
      <c r="AL64" s="25"/>
      <c r="AM64" s="25"/>
      <c r="AN64" s="27"/>
    </row>
    <row r="65" spans="1:40" ht="15">
      <c r="A65" s="16" t="str">
        <f t="shared" si="0"/>
        <v/>
      </c>
      <c r="B65" s="17"/>
      <c r="C65" s="16" t="str">
        <f t="shared" si="1"/>
        <v/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9"/>
      <c r="R65" s="20"/>
      <c r="S65" s="20"/>
      <c r="T65" s="20"/>
      <c r="U65" s="20"/>
      <c r="V65" s="20"/>
      <c r="W65" s="20"/>
      <c r="X65" s="20"/>
      <c r="Y65" s="20"/>
      <c r="Z65" s="20"/>
      <c r="AA65" s="20" t="str">
        <f t="shared" si="2"/>
        <v/>
      </c>
      <c r="AB65" s="21">
        <f t="shared" si="3"/>
        <v>0</v>
      </c>
      <c r="AC65" s="20"/>
      <c r="AD65" s="20"/>
      <c r="AE65" s="20"/>
      <c r="AF65" s="20"/>
      <c r="AG65" s="20"/>
      <c r="AH65" s="22"/>
      <c r="AI65" s="23"/>
      <c r="AJ65" s="22"/>
      <c r="AK65" s="24" t="str">
        <f>IF(B65="","",AI65*Paramètres!$B$4+AJ65)</f>
        <v/>
      </c>
      <c r="AL65" s="25"/>
      <c r="AM65" s="25"/>
      <c r="AN65" s="27"/>
    </row>
    <row r="66" spans="1:40" ht="15">
      <c r="A66" s="16" t="str">
        <f t="shared" si="0"/>
        <v/>
      </c>
      <c r="B66" s="17"/>
      <c r="C66" s="16" t="str">
        <f t="shared" si="1"/>
        <v/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9"/>
      <c r="R66" s="20"/>
      <c r="S66" s="20"/>
      <c r="T66" s="20"/>
      <c r="U66" s="20"/>
      <c r="V66" s="20"/>
      <c r="W66" s="20"/>
      <c r="X66" s="20"/>
      <c r="Y66" s="20"/>
      <c r="Z66" s="20"/>
      <c r="AA66" s="20" t="str">
        <f t="shared" si="2"/>
        <v/>
      </c>
      <c r="AB66" s="21">
        <f t="shared" si="3"/>
        <v>0</v>
      </c>
      <c r="AC66" s="20"/>
      <c r="AD66" s="20"/>
      <c r="AE66" s="20"/>
      <c r="AF66" s="20"/>
      <c r="AG66" s="20"/>
      <c r="AH66" s="22"/>
      <c r="AI66" s="23"/>
      <c r="AJ66" s="22"/>
      <c r="AK66" s="24" t="str">
        <f>IF(B66="","",AI66*Paramètres!$B$4+AJ66)</f>
        <v/>
      </c>
      <c r="AL66" s="25"/>
      <c r="AM66" s="25"/>
      <c r="AN66" s="27"/>
    </row>
    <row r="67" spans="1:40" ht="15">
      <c r="A67" s="16" t="str">
        <f t="shared" si="0"/>
        <v/>
      </c>
      <c r="B67" s="17"/>
      <c r="C67" s="16" t="str">
        <f t="shared" si="1"/>
        <v/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9"/>
      <c r="R67" s="20"/>
      <c r="S67" s="20"/>
      <c r="T67" s="20"/>
      <c r="U67" s="20"/>
      <c r="V67" s="20"/>
      <c r="W67" s="20"/>
      <c r="X67" s="20"/>
      <c r="Y67" s="20"/>
      <c r="Z67" s="20"/>
      <c r="AA67" s="20" t="str">
        <f t="shared" si="2"/>
        <v/>
      </c>
      <c r="AB67" s="21">
        <f t="shared" si="3"/>
        <v>0</v>
      </c>
      <c r="AC67" s="20"/>
      <c r="AD67" s="20"/>
      <c r="AE67" s="20"/>
      <c r="AF67" s="20"/>
      <c r="AG67" s="20"/>
      <c r="AH67" s="22"/>
      <c r="AI67" s="23"/>
      <c r="AJ67" s="22"/>
      <c r="AK67" s="24" t="str">
        <f>IF(B67="","",AI67*Paramètres!$B$4+AJ67)</f>
        <v/>
      </c>
      <c r="AL67" s="25"/>
      <c r="AM67" s="25"/>
      <c r="AN67" s="27"/>
    </row>
    <row r="68" spans="1:40" ht="15">
      <c r="A68" s="16" t="str">
        <f t="shared" si="0"/>
        <v/>
      </c>
      <c r="B68" s="17"/>
      <c r="C68" s="16" t="str">
        <f t="shared" si="1"/>
        <v/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9"/>
      <c r="R68" s="20"/>
      <c r="S68" s="20"/>
      <c r="T68" s="20"/>
      <c r="U68" s="20"/>
      <c r="V68" s="20"/>
      <c r="W68" s="20"/>
      <c r="X68" s="20"/>
      <c r="Y68" s="20"/>
      <c r="Z68" s="20"/>
      <c r="AA68" s="20" t="str">
        <f t="shared" si="2"/>
        <v/>
      </c>
      <c r="AB68" s="21">
        <f t="shared" si="3"/>
        <v>0</v>
      </c>
      <c r="AC68" s="20"/>
      <c r="AD68" s="20"/>
      <c r="AE68" s="20"/>
      <c r="AF68" s="20"/>
      <c r="AG68" s="20"/>
      <c r="AH68" s="22"/>
      <c r="AI68" s="23"/>
      <c r="AJ68" s="22"/>
      <c r="AK68" s="24" t="str">
        <f>IF(B68="","",AI68*Paramètres!$B$4+AJ68)</f>
        <v/>
      </c>
      <c r="AL68" s="25"/>
      <c r="AM68" s="25"/>
      <c r="AN68" s="27"/>
    </row>
    <row r="69" spans="1:40" ht="15">
      <c r="A69" s="16" t="str">
        <f t="shared" si="0"/>
        <v/>
      </c>
      <c r="B69" s="17"/>
      <c r="C69" s="16" t="str">
        <f t="shared" si="1"/>
        <v/>
      </c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9"/>
      <c r="R69" s="20"/>
      <c r="S69" s="20"/>
      <c r="T69" s="20"/>
      <c r="U69" s="20"/>
      <c r="V69" s="20"/>
      <c r="W69" s="20"/>
      <c r="X69" s="20"/>
      <c r="Y69" s="20"/>
      <c r="Z69" s="20"/>
      <c r="AA69" s="20" t="str">
        <f t="shared" si="2"/>
        <v/>
      </c>
      <c r="AB69" s="21">
        <f t="shared" si="3"/>
        <v>0</v>
      </c>
      <c r="AC69" s="20"/>
      <c r="AD69" s="20"/>
      <c r="AE69" s="20"/>
      <c r="AF69" s="20"/>
      <c r="AG69" s="20"/>
      <c r="AH69" s="22"/>
      <c r="AI69" s="23"/>
      <c r="AJ69" s="22"/>
      <c r="AK69" s="24" t="str">
        <f>IF(B69="","",AI69*Paramètres!$B$4+AJ69)</f>
        <v/>
      </c>
      <c r="AL69" s="25"/>
      <c r="AM69" s="25"/>
      <c r="AN69" s="27"/>
    </row>
    <row r="70" spans="1:40" ht="15">
      <c r="A70" s="16" t="str">
        <f t="shared" ref="A70:A133" si="4">IF(B70="","",ROW()-5)</f>
        <v/>
      </c>
      <c r="B70" s="17"/>
      <c r="C70" s="16" t="str">
        <f t="shared" ref="C70:C133" si="5">IF(B70="","",CHOOSE(MONTH(B70),"Janvier","Février","Mars","Avril","Mai","Juin","Juillet","Août","Septembre","Octobre","Novembre","Décembre"))</f>
        <v/>
      </c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9"/>
      <c r="R70" s="20"/>
      <c r="S70" s="20"/>
      <c r="T70" s="20"/>
      <c r="U70" s="20"/>
      <c r="V70" s="20"/>
      <c r="W70" s="20"/>
      <c r="X70" s="20"/>
      <c r="Y70" s="20"/>
      <c r="Z70" s="20"/>
      <c r="AA70" s="20" t="str">
        <f t="shared" ref="AA70:AA133" si="6">IF(B70="","",SUM(W70:Z70))</f>
        <v/>
      </c>
      <c r="AB70" s="21">
        <f t="shared" ref="AB70:AB133" si="7">IFERROR(AA70/T70,0)</f>
        <v>0</v>
      </c>
      <c r="AC70" s="20"/>
      <c r="AD70" s="20"/>
      <c r="AE70" s="20"/>
      <c r="AF70" s="20"/>
      <c r="AG70" s="20"/>
      <c r="AH70" s="22"/>
      <c r="AI70" s="23"/>
      <c r="AJ70" s="22"/>
      <c r="AK70" s="24" t="str">
        <f>IF(B70="","",AI70*Paramètres!$B$4+AJ70)</f>
        <v/>
      </c>
      <c r="AL70" s="25"/>
      <c r="AM70" s="25"/>
      <c r="AN70" s="27"/>
    </row>
    <row r="71" spans="1:40" ht="15">
      <c r="A71" s="16" t="str">
        <f t="shared" si="4"/>
        <v/>
      </c>
      <c r="B71" s="17"/>
      <c r="C71" s="16" t="str">
        <f t="shared" si="5"/>
        <v/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9"/>
      <c r="R71" s="20"/>
      <c r="S71" s="20"/>
      <c r="T71" s="20"/>
      <c r="U71" s="20"/>
      <c r="V71" s="20"/>
      <c r="W71" s="20"/>
      <c r="X71" s="20"/>
      <c r="Y71" s="20"/>
      <c r="Z71" s="20"/>
      <c r="AA71" s="20" t="str">
        <f t="shared" si="6"/>
        <v/>
      </c>
      <c r="AB71" s="21">
        <f t="shared" si="7"/>
        <v>0</v>
      </c>
      <c r="AC71" s="20"/>
      <c r="AD71" s="20"/>
      <c r="AE71" s="20"/>
      <c r="AF71" s="20"/>
      <c r="AG71" s="20"/>
      <c r="AH71" s="22"/>
      <c r="AI71" s="23"/>
      <c r="AJ71" s="22"/>
      <c r="AK71" s="24" t="str">
        <f>IF(B71="","",AI71*Paramètres!$B$4+AJ71)</f>
        <v/>
      </c>
      <c r="AL71" s="25"/>
      <c r="AM71" s="25"/>
      <c r="AN71" s="27"/>
    </row>
    <row r="72" spans="1:40" ht="15">
      <c r="A72" s="16" t="str">
        <f t="shared" si="4"/>
        <v/>
      </c>
      <c r="B72" s="17"/>
      <c r="C72" s="16" t="str">
        <f t="shared" si="5"/>
        <v/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9"/>
      <c r="R72" s="20"/>
      <c r="S72" s="20"/>
      <c r="T72" s="20"/>
      <c r="U72" s="20"/>
      <c r="V72" s="20"/>
      <c r="W72" s="20"/>
      <c r="X72" s="20"/>
      <c r="Y72" s="20"/>
      <c r="Z72" s="20"/>
      <c r="AA72" s="20" t="str">
        <f t="shared" si="6"/>
        <v/>
      </c>
      <c r="AB72" s="21">
        <f t="shared" si="7"/>
        <v>0</v>
      </c>
      <c r="AC72" s="20"/>
      <c r="AD72" s="20"/>
      <c r="AE72" s="20"/>
      <c r="AF72" s="20"/>
      <c r="AG72" s="20"/>
      <c r="AH72" s="22"/>
      <c r="AI72" s="23"/>
      <c r="AJ72" s="22"/>
      <c r="AK72" s="24" t="str">
        <f>IF(B72="","",AI72*Paramètres!$B$4+AJ72)</f>
        <v/>
      </c>
      <c r="AL72" s="25"/>
      <c r="AM72" s="25"/>
      <c r="AN72" s="27"/>
    </row>
    <row r="73" spans="1:40" ht="15">
      <c r="A73" s="16" t="str">
        <f t="shared" si="4"/>
        <v/>
      </c>
      <c r="B73" s="17"/>
      <c r="C73" s="16" t="str">
        <f t="shared" si="5"/>
        <v/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9"/>
      <c r="R73" s="20"/>
      <c r="S73" s="20"/>
      <c r="T73" s="20"/>
      <c r="U73" s="20"/>
      <c r="V73" s="20"/>
      <c r="W73" s="20"/>
      <c r="X73" s="20"/>
      <c r="Y73" s="20"/>
      <c r="Z73" s="20"/>
      <c r="AA73" s="20" t="str">
        <f t="shared" si="6"/>
        <v/>
      </c>
      <c r="AB73" s="21">
        <f t="shared" si="7"/>
        <v>0</v>
      </c>
      <c r="AC73" s="20"/>
      <c r="AD73" s="20"/>
      <c r="AE73" s="20"/>
      <c r="AF73" s="20"/>
      <c r="AG73" s="20"/>
      <c r="AH73" s="22"/>
      <c r="AI73" s="23"/>
      <c r="AJ73" s="22"/>
      <c r="AK73" s="24" t="str">
        <f>IF(B73="","",AI73*Paramètres!$B$4+AJ73)</f>
        <v/>
      </c>
      <c r="AL73" s="25"/>
      <c r="AM73" s="25"/>
      <c r="AN73" s="27"/>
    </row>
    <row r="74" spans="1:40" ht="15">
      <c r="A74" s="16" t="str">
        <f t="shared" si="4"/>
        <v/>
      </c>
      <c r="B74" s="17"/>
      <c r="C74" s="16" t="str">
        <f t="shared" si="5"/>
        <v/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9"/>
      <c r="R74" s="20"/>
      <c r="S74" s="20"/>
      <c r="T74" s="20"/>
      <c r="U74" s="20"/>
      <c r="V74" s="20"/>
      <c r="W74" s="20"/>
      <c r="X74" s="20"/>
      <c r="Y74" s="20"/>
      <c r="Z74" s="20"/>
      <c r="AA74" s="20" t="str">
        <f t="shared" si="6"/>
        <v/>
      </c>
      <c r="AB74" s="21">
        <f t="shared" si="7"/>
        <v>0</v>
      </c>
      <c r="AC74" s="20"/>
      <c r="AD74" s="20"/>
      <c r="AE74" s="20"/>
      <c r="AF74" s="20"/>
      <c r="AG74" s="20"/>
      <c r="AH74" s="22"/>
      <c r="AI74" s="23"/>
      <c r="AJ74" s="22"/>
      <c r="AK74" s="24" t="str">
        <f>IF(B74="","",AI74*Paramètres!$B$4+AJ74)</f>
        <v/>
      </c>
      <c r="AL74" s="25"/>
      <c r="AM74" s="25"/>
      <c r="AN74" s="27"/>
    </row>
    <row r="75" spans="1:40" ht="15">
      <c r="A75" s="16" t="str">
        <f t="shared" si="4"/>
        <v/>
      </c>
      <c r="B75" s="17"/>
      <c r="C75" s="16" t="str">
        <f t="shared" si="5"/>
        <v/>
      </c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9"/>
      <c r="R75" s="20"/>
      <c r="S75" s="20"/>
      <c r="T75" s="20"/>
      <c r="U75" s="20"/>
      <c r="V75" s="20"/>
      <c r="W75" s="20"/>
      <c r="X75" s="20"/>
      <c r="Y75" s="20"/>
      <c r="Z75" s="20"/>
      <c r="AA75" s="20" t="str">
        <f t="shared" si="6"/>
        <v/>
      </c>
      <c r="AB75" s="21">
        <f t="shared" si="7"/>
        <v>0</v>
      </c>
      <c r="AC75" s="20"/>
      <c r="AD75" s="20"/>
      <c r="AE75" s="20"/>
      <c r="AF75" s="20"/>
      <c r="AG75" s="20"/>
      <c r="AH75" s="22"/>
      <c r="AI75" s="23"/>
      <c r="AJ75" s="22"/>
      <c r="AK75" s="24" t="str">
        <f>IF(B75="","",AI75*Paramètres!$B$4+AJ75)</f>
        <v/>
      </c>
      <c r="AL75" s="25"/>
      <c r="AM75" s="25"/>
      <c r="AN75" s="27"/>
    </row>
    <row r="76" spans="1:40" ht="15">
      <c r="A76" s="16" t="str">
        <f t="shared" si="4"/>
        <v/>
      </c>
      <c r="B76" s="17"/>
      <c r="C76" s="16" t="str">
        <f t="shared" si="5"/>
        <v/>
      </c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/>
      <c r="R76" s="20"/>
      <c r="S76" s="20"/>
      <c r="T76" s="20"/>
      <c r="U76" s="20"/>
      <c r="V76" s="20"/>
      <c r="W76" s="20"/>
      <c r="X76" s="20"/>
      <c r="Y76" s="20"/>
      <c r="Z76" s="20"/>
      <c r="AA76" s="20" t="str">
        <f t="shared" si="6"/>
        <v/>
      </c>
      <c r="AB76" s="21">
        <f t="shared" si="7"/>
        <v>0</v>
      </c>
      <c r="AC76" s="20"/>
      <c r="AD76" s="20"/>
      <c r="AE76" s="20"/>
      <c r="AF76" s="20"/>
      <c r="AG76" s="20"/>
      <c r="AH76" s="22"/>
      <c r="AI76" s="23"/>
      <c r="AJ76" s="22"/>
      <c r="AK76" s="24" t="str">
        <f>IF(B76="","",AI76*Paramètres!$B$4+AJ76)</f>
        <v/>
      </c>
      <c r="AL76" s="25"/>
      <c r="AM76" s="25"/>
      <c r="AN76" s="27"/>
    </row>
    <row r="77" spans="1:40" ht="15">
      <c r="A77" s="16" t="str">
        <f t="shared" si="4"/>
        <v/>
      </c>
      <c r="B77" s="17"/>
      <c r="C77" s="16" t="str">
        <f t="shared" si="5"/>
        <v/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9"/>
      <c r="R77" s="20"/>
      <c r="S77" s="20"/>
      <c r="T77" s="20"/>
      <c r="U77" s="20"/>
      <c r="V77" s="20"/>
      <c r="W77" s="20"/>
      <c r="X77" s="20"/>
      <c r="Y77" s="20"/>
      <c r="Z77" s="20"/>
      <c r="AA77" s="20" t="str">
        <f t="shared" si="6"/>
        <v/>
      </c>
      <c r="AB77" s="21">
        <f t="shared" si="7"/>
        <v>0</v>
      </c>
      <c r="AC77" s="20"/>
      <c r="AD77" s="20"/>
      <c r="AE77" s="20"/>
      <c r="AF77" s="20"/>
      <c r="AG77" s="20"/>
      <c r="AH77" s="22"/>
      <c r="AI77" s="23"/>
      <c r="AJ77" s="22"/>
      <c r="AK77" s="24" t="str">
        <f>IF(B77="","",AI77*Paramètres!$B$4+AJ77)</f>
        <v/>
      </c>
      <c r="AL77" s="25"/>
      <c r="AM77" s="25"/>
      <c r="AN77" s="27"/>
    </row>
    <row r="78" spans="1:40" ht="15">
      <c r="A78" s="16" t="str">
        <f t="shared" si="4"/>
        <v/>
      </c>
      <c r="B78" s="17"/>
      <c r="C78" s="16" t="str">
        <f t="shared" si="5"/>
        <v/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/>
      <c r="R78" s="20"/>
      <c r="S78" s="20"/>
      <c r="T78" s="20"/>
      <c r="U78" s="20"/>
      <c r="V78" s="20"/>
      <c r="W78" s="20"/>
      <c r="X78" s="20"/>
      <c r="Y78" s="20"/>
      <c r="Z78" s="20"/>
      <c r="AA78" s="20" t="str">
        <f t="shared" si="6"/>
        <v/>
      </c>
      <c r="AB78" s="21">
        <f t="shared" si="7"/>
        <v>0</v>
      </c>
      <c r="AC78" s="20"/>
      <c r="AD78" s="20"/>
      <c r="AE78" s="20"/>
      <c r="AF78" s="20"/>
      <c r="AG78" s="20"/>
      <c r="AH78" s="22"/>
      <c r="AI78" s="23"/>
      <c r="AJ78" s="22"/>
      <c r="AK78" s="24" t="str">
        <f>IF(B78="","",AI78*Paramètres!$B$4+AJ78)</f>
        <v/>
      </c>
      <c r="AL78" s="25"/>
      <c r="AM78" s="25"/>
      <c r="AN78" s="27"/>
    </row>
    <row r="79" spans="1:40" ht="15">
      <c r="A79" s="16" t="str">
        <f t="shared" si="4"/>
        <v/>
      </c>
      <c r="B79" s="17"/>
      <c r="C79" s="16" t="str">
        <f t="shared" si="5"/>
        <v/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9"/>
      <c r="R79" s="20"/>
      <c r="S79" s="20"/>
      <c r="T79" s="20"/>
      <c r="U79" s="20"/>
      <c r="V79" s="20"/>
      <c r="W79" s="20"/>
      <c r="X79" s="20"/>
      <c r="Y79" s="20"/>
      <c r="Z79" s="20"/>
      <c r="AA79" s="20" t="str">
        <f t="shared" si="6"/>
        <v/>
      </c>
      <c r="AB79" s="21">
        <f t="shared" si="7"/>
        <v>0</v>
      </c>
      <c r="AC79" s="20"/>
      <c r="AD79" s="20"/>
      <c r="AE79" s="20"/>
      <c r="AF79" s="20"/>
      <c r="AG79" s="20"/>
      <c r="AH79" s="22"/>
      <c r="AI79" s="23"/>
      <c r="AJ79" s="22"/>
      <c r="AK79" s="24" t="str">
        <f>IF(B79="","",AI79*Paramètres!$B$4+AJ79)</f>
        <v/>
      </c>
      <c r="AL79" s="25"/>
      <c r="AM79" s="25"/>
      <c r="AN79" s="27"/>
    </row>
    <row r="80" spans="1:40" ht="15">
      <c r="A80" s="16" t="str">
        <f t="shared" si="4"/>
        <v/>
      </c>
      <c r="B80" s="17"/>
      <c r="C80" s="16" t="str">
        <f t="shared" si="5"/>
        <v/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9"/>
      <c r="R80" s="20"/>
      <c r="S80" s="20"/>
      <c r="T80" s="20"/>
      <c r="U80" s="20"/>
      <c r="V80" s="20"/>
      <c r="W80" s="20"/>
      <c r="X80" s="20"/>
      <c r="Y80" s="20"/>
      <c r="Z80" s="20"/>
      <c r="AA80" s="20" t="str">
        <f t="shared" si="6"/>
        <v/>
      </c>
      <c r="AB80" s="21">
        <f t="shared" si="7"/>
        <v>0</v>
      </c>
      <c r="AC80" s="20"/>
      <c r="AD80" s="20"/>
      <c r="AE80" s="20"/>
      <c r="AF80" s="20"/>
      <c r="AG80" s="20"/>
      <c r="AH80" s="22"/>
      <c r="AI80" s="23"/>
      <c r="AJ80" s="22"/>
      <c r="AK80" s="24" t="str">
        <f>IF(B80="","",AI80*Paramètres!$B$4+AJ80)</f>
        <v/>
      </c>
      <c r="AL80" s="25"/>
      <c r="AM80" s="25"/>
      <c r="AN80" s="27"/>
    </row>
    <row r="81" spans="1:40" ht="15">
      <c r="A81" s="16" t="str">
        <f t="shared" si="4"/>
        <v/>
      </c>
      <c r="B81" s="17"/>
      <c r="C81" s="16" t="str">
        <f t="shared" si="5"/>
        <v/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9"/>
      <c r="R81" s="20"/>
      <c r="S81" s="20"/>
      <c r="T81" s="20"/>
      <c r="U81" s="20"/>
      <c r="V81" s="20"/>
      <c r="W81" s="20"/>
      <c r="X81" s="20"/>
      <c r="Y81" s="20"/>
      <c r="Z81" s="20"/>
      <c r="AA81" s="20" t="str">
        <f t="shared" si="6"/>
        <v/>
      </c>
      <c r="AB81" s="21">
        <f t="shared" si="7"/>
        <v>0</v>
      </c>
      <c r="AC81" s="20"/>
      <c r="AD81" s="20"/>
      <c r="AE81" s="20"/>
      <c r="AF81" s="20"/>
      <c r="AG81" s="20"/>
      <c r="AH81" s="22"/>
      <c r="AI81" s="23"/>
      <c r="AJ81" s="22"/>
      <c r="AK81" s="24" t="str">
        <f>IF(B81="","",AI81*Paramètres!$B$4+AJ81)</f>
        <v/>
      </c>
      <c r="AL81" s="25"/>
      <c r="AM81" s="25"/>
      <c r="AN81" s="27"/>
    </row>
    <row r="82" spans="1:40" ht="15">
      <c r="A82" s="16" t="str">
        <f t="shared" si="4"/>
        <v/>
      </c>
      <c r="B82" s="17"/>
      <c r="C82" s="16" t="str">
        <f t="shared" si="5"/>
        <v/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9"/>
      <c r="R82" s="20"/>
      <c r="S82" s="20"/>
      <c r="T82" s="20"/>
      <c r="U82" s="20"/>
      <c r="V82" s="20"/>
      <c r="W82" s="20"/>
      <c r="X82" s="20"/>
      <c r="Y82" s="20"/>
      <c r="Z82" s="20"/>
      <c r="AA82" s="20" t="str">
        <f t="shared" si="6"/>
        <v/>
      </c>
      <c r="AB82" s="21">
        <f t="shared" si="7"/>
        <v>0</v>
      </c>
      <c r="AC82" s="20"/>
      <c r="AD82" s="20"/>
      <c r="AE82" s="20"/>
      <c r="AF82" s="20"/>
      <c r="AG82" s="20"/>
      <c r="AH82" s="22"/>
      <c r="AI82" s="23"/>
      <c r="AJ82" s="22"/>
      <c r="AK82" s="24" t="str">
        <f>IF(B82="","",AI82*Paramètres!$B$4+AJ82)</f>
        <v/>
      </c>
      <c r="AL82" s="25"/>
      <c r="AM82" s="25"/>
      <c r="AN82" s="27"/>
    </row>
    <row r="83" spans="1:40" ht="15">
      <c r="A83" s="16" t="str">
        <f t="shared" si="4"/>
        <v/>
      </c>
      <c r="B83" s="17"/>
      <c r="C83" s="16" t="str">
        <f t="shared" si="5"/>
        <v/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9"/>
      <c r="R83" s="20"/>
      <c r="S83" s="20"/>
      <c r="T83" s="20"/>
      <c r="U83" s="20"/>
      <c r="V83" s="20"/>
      <c r="W83" s="20"/>
      <c r="X83" s="20"/>
      <c r="Y83" s="20"/>
      <c r="Z83" s="20"/>
      <c r="AA83" s="20" t="str">
        <f t="shared" si="6"/>
        <v/>
      </c>
      <c r="AB83" s="21">
        <f t="shared" si="7"/>
        <v>0</v>
      </c>
      <c r="AC83" s="20"/>
      <c r="AD83" s="20"/>
      <c r="AE83" s="20"/>
      <c r="AF83" s="20"/>
      <c r="AG83" s="20"/>
      <c r="AH83" s="22"/>
      <c r="AI83" s="23"/>
      <c r="AJ83" s="22"/>
      <c r="AK83" s="24" t="str">
        <f>IF(B83="","",AI83*Paramètres!$B$4+AJ83)</f>
        <v/>
      </c>
      <c r="AL83" s="25"/>
      <c r="AM83" s="25"/>
      <c r="AN83" s="27"/>
    </row>
    <row r="84" spans="1:40" ht="15">
      <c r="A84" s="16" t="str">
        <f t="shared" si="4"/>
        <v/>
      </c>
      <c r="B84" s="17"/>
      <c r="C84" s="16" t="str">
        <f t="shared" si="5"/>
        <v/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9"/>
      <c r="R84" s="20"/>
      <c r="S84" s="20"/>
      <c r="T84" s="20"/>
      <c r="U84" s="20"/>
      <c r="V84" s="20"/>
      <c r="W84" s="20"/>
      <c r="X84" s="20"/>
      <c r="Y84" s="20"/>
      <c r="Z84" s="20"/>
      <c r="AA84" s="20" t="str">
        <f t="shared" si="6"/>
        <v/>
      </c>
      <c r="AB84" s="21">
        <f t="shared" si="7"/>
        <v>0</v>
      </c>
      <c r="AC84" s="20"/>
      <c r="AD84" s="20"/>
      <c r="AE84" s="20"/>
      <c r="AF84" s="20"/>
      <c r="AG84" s="20"/>
      <c r="AH84" s="22"/>
      <c r="AI84" s="23"/>
      <c r="AJ84" s="22"/>
      <c r="AK84" s="24" t="str">
        <f>IF(B84="","",AI84*Paramètres!$B$4+AJ84)</f>
        <v/>
      </c>
      <c r="AL84" s="25"/>
      <c r="AM84" s="25"/>
      <c r="AN84" s="27"/>
    </row>
    <row r="85" spans="1:40" ht="15">
      <c r="A85" s="16" t="str">
        <f t="shared" si="4"/>
        <v/>
      </c>
      <c r="B85" s="17"/>
      <c r="C85" s="16" t="str">
        <f t="shared" si="5"/>
        <v/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9"/>
      <c r="R85" s="20"/>
      <c r="S85" s="20"/>
      <c r="T85" s="20"/>
      <c r="U85" s="20"/>
      <c r="V85" s="20"/>
      <c r="W85" s="20"/>
      <c r="X85" s="20"/>
      <c r="Y85" s="20"/>
      <c r="Z85" s="20"/>
      <c r="AA85" s="20" t="str">
        <f t="shared" si="6"/>
        <v/>
      </c>
      <c r="AB85" s="21">
        <f t="shared" si="7"/>
        <v>0</v>
      </c>
      <c r="AC85" s="20"/>
      <c r="AD85" s="20"/>
      <c r="AE85" s="20"/>
      <c r="AF85" s="20"/>
      <c r="AG85" s="20"/>
      <c r="AH85" s="22"/>
      <c r="AI85" s="23"/>
      <c r="AJ85" s="22"/>
      <c r="AK85" s="24" t="str">
        <f>IF(B85="","",AI85*Paramètres!$B$4+AJ85)</f>
        <v/>
      </c>
      <c r="AL85" s="25"/>
      <c r="AM85" s="25"/>
      <c r="AN85" s="27"/>
    </row>
    <row r="86" spans="1:40" ht="15">
      <c r="A86" s="16" t="str">
        <f t="shared" si="4"/>
        <v/>
      </c>
      <c r="B86" s="17"/>
      <c r="C86" s="16" t="str">
        <f t="shared" si="5"/>
        <v/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9"/>
      <c r="R86" s="20"/>
      <c r="S86" s="20"/>
      <c r="T86" s="20"/>
      <c r="U86" s="20"/>
      <c r="V86" s="20"/>
      <c r="W86" s="20"/>
      <c r="X86" s="20"/>
      <c r="Y86" s="20"/>
      <c r="Z86" s="20"/>
      <c r="AA86" s="20" t="str">
        <f t="shared" si="6"/>
        <v/>
      </c>
      <c r="AB86" s="21">
        <f t="shared" si="7"/>
        <v>0</v>
      </c>
      <c r="AC86" s="20"/>
      <c r="AD86" s="20"/>
      <c r="AE86" s="20"/>
      <c r="AF86" s="20"/>
      <c r="AG86" s="20"/>
      <c r="AH86" s="22"/>
      <c r="AI86" s="23"/>
      <c r="AJ86" s="22"/>
      <c r="AK86" s="24" t="str">
        <f>IF(B86="","",AI86*Paramètres!$B$4+AJ86)</f>
        <v/>
      </c>
      <c r="AL86" s="25"/>
      <c r="AM86" s="25"/>
      <c r="AN86" s="27"/>
    </row>
    <row r="87" spans="1:40" ht="15">
      <c r="A87" s="16" t="str">
        <f t="shared" si="4"/>
        <v/>
      </c>
      <c r="B87" s="17"/>
      <c r="C87" s="16" t="str">
        <f t="shared" si="5"/>
        <v/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9"/>
      <c r="R87" s="20"/>
      <c r="S87" s="20"/>
      <c r="T87" s="20"/>
      <c r="U87" s="20"/>
      <c r="V87" s="20"/>
      <c r="W87" s="20"/>
      <c r="X87" s="20"/>
      <c r="Y87" s="20"/>
      <c r="Z87" s="20"/>
      <c r="AA87" s="20" t="str">
        <f t="shared" si="6"/>
        <v/>
      </c>
      <c r="AB87" s="21">
        <f t="shared" si="7"/>
        <v>0</v>
      </c>
      <c r="AC87" s="20"/>
      <c r="AD87" s="20"/>
      <c r="AE87" s="20"/>
      <c r="AF87" s="20"/>
      <c r="AG87" s="20"/>
      <c r="AH87" s="22"/>
      <c r="AI87" s="23"/>
      <c r="AJ87" s="22"/>
      <c r="AK87" s="24" t="str">
        <f>IF(B87="","",AI87*Paramètres!$B$4+AJ87)</f>
        <v/>
      </c>
      <c r="AL87" s="25"/>
      <c r="AM87" s="25"/>
      <c r="AN87" s="27"/>
    </row>
    <row r="88" spans="1:40" ht="15">
      <c r="A88" s="16" t="str">
        <f t="shared" si="4"/>
        <v/>
      </c>
      <c r="B88" s="17"/>
      <c r="C88" s="16" t="str">
        <f t="shared" si="5"/>
        <v/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9"/>
      <c r="R88" s="20"/>
      <c r="S88" s="20"/>
      <c r="T88" s="20"/>
      <c r="U88" s="20"/>
      <c r="V88" s="20"/>
      <c r="W88" s="20"/>
      <c r="X88" s="20"/>
      <c r="Y88" s="20"/>
      <c r="Z88" s="20"/>
      <c r="AA88" s="20" t="str">
        <f t="shared" si="6"/>
        <v/>
      </c>
      <c r="AB88" s="21">
        <f t="shared" si="7"/>
        <v>0</v>
      </c>
      <c r="AC88" s="20"/>
      <c r="AD88" s="20"/>
      <c r="AE88" s="20"/>
      <c r="AF88" s="20"/>
      <c r="AG88" s="20"/>
      <c r="AH88" s="22"/>
      <c r="AI88" s="23"/>
      <c r="AJ88" s="22"/>
      <c r="AK88" s="24" t="str">
        <f>IF(B88="","",AI88*Paramètres!$B$4+AJ88)</f>
        <v/>
      </c>
      <c r="AL88" s="25"/>
      <c r="AM88" s="25"/>
      <c r="AN88" s="27"/>
    </row>
    <row r="89" spans="1:40" ht="15">
      <c r="A89" s="16" t="str">
        <f t="shared" si="4"/>
        <v/>
      </c>
      <c r="B89" s="17"/>
      <c r="C89" s="16" t="str">
        <f t="shared" si="5"/>
        <v/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9"/>
      <c r="R89" s="20"/>
      <c r="S89" s="20"/>
      <c r="T89" s="20"/>
      <c r="U89" s="20"/>
      <c r="V89" s="20"/>
      <c r="W89" s="20"/>
      <c r="X89" s="20"/>
      <c r="Y89" s="20"/>
      <c r="Z89" s="20"/>
      <c r="AA89" s="20" t="str">
        <f t="shared" si="6"/>
        <v/>
      </c>
      <c r="AB89" s="21">
        <f t="shared" si="7"/>
        <v>0</v>
      </c>
      <c r="AC89" s="20"/>
      <c r="AD89" s="20"/>
      <c r="AE89" s="20"/>
      <c r="AF89" s="20"/>
      <c r="AG89" s="20"/>
      <c r="AH89" s="22"/>
      <c r="AI89" s="23"/>
      <c r="AJ89" s="22"/>
      <c r="AK89" s="24" t="str">
        <f>IF(B89="","",AI89*Paramètres!$B$4+AJ89)</f>
        <v/>
      </c>
      <c r="AL89" s="25"/>
      <c r="AM89" s="25"/>
      <c r="AN89" s="27"/>
    </row>
    <row r="90" spans="1:40" ht="15">
      <c r="A90" s="16" t="str">
        <f t="shared" si="4"/>
        <v/>
      </c>
      <c r="B90" s="17"/>
      <c r="C90" s="16" t="str">
        <f t="shared" si="5"/>
        <v/>
      </c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9"/>
      <c r="R90" s="20"/>
      <c r="S90" s="20"/>
      <c r="T90" s="20"/>
      <c r="U90" s="20"/>
      <c r="V90" s="20"/>
      <c r="W90" s="20"/>
      <c r="X90" s="20"/>
      <c r="Y90" s="20"/>
      <c r="Z90" s="20"/>
      <c r="AA90" s="20" t="str">
        <f t="shared" si="6"/>
        <v/>
      </c>
      <c r="AB90" s="21">
        <f t="shared" si="7"/>
        <v>0</v>
      </c>
      <c r="AC90" s="20"/>
      <c r="AD90" s="20"/>
      <c r="AE90" s="20"/>
      <c r="AF90" s="20"/>
      <c r="AG90" s="20"/>
      <c r="AH90" s="22"/>
      <c r="AI90" s="23"/>
      <c r="AJ90" s="22"/>
      <c r="AK90" s="24" t="str">
        <f>IF(B90="","",AI90*Paramètres!$B$4+AJ90)</f>
        <v/>
      </c>
      <c r="AL90" s="25"/>
      <c r="AM90" s="25"/>
      <c r="AN90" s="27"/>
    </row>
    <row r="91" spans="1:40" ht="15">
      <c r="A91" s="16" t="str">
        <f t="shared" si="4"/>
        <v/>
      </c>
      <c r="B91" s="17"/>
      <c r="C91" s="16" t="str">
        <f t="shared" si="5"/>
        <v/>
      </c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9"/>
      <c r="R91" s="20"/>
      <c r="S91" s="20"/>
      <c r="T91" s="20"/>
      <c r="U91" s="20"/>
      <c r="V91" s="20"/>
      <c r="W91" s="20"/>
      <c r="X91" s="20"/>
      <c r="Y91" s="20"/>
      <c r="Z91" s="20"/>
      <c r="AA91" s="20" t="str">
        <f t="shared" si="6"/>
        <v/>
      </c>
      <c r="AB91" s="21">
        <f t="shared" si="7"/>
        <v>0</v>
      </c>
      <c r="AC91" s="20"/>
      <c r="AD91" s="20"/>
      <c r="AE91" s="20"/>
      <c r="AF91" s="20"/>
      <c r="AG91" s="20"/>
      <c r="AH91" s="22"/>
      <c r="AI91" s="23"/>
      <c r="AJ91" s="22"/>
      <c r="AK91" s="24" t="str">
        <f>IF(B91="","",AI91*Paramètres!$B$4+AJ91)</f>
        <v/>
      </c>
      <c r="AL91" s="25"/>
      <c r="AM91" s="25"/>
      <c r="AN91" s="27"/>
    </row>
    <row r="92" spans="1:40" ht="15">
      <c r="A92" s="16" t="str">
        <f t="shared" si="4"/>
        <v/>
      </c>
      <c r="B92" s="17"/>
      <c r="C92" s="16" t="str">
        <f t="shared" si="5"/>
        <v/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9"/>
      <c r="R92" s="20"/>
      <c r="S92" s="20"/>
      <c r="T92" s="20"/>
      <c r="U92" s="20"/>
      <c r="V92" s="20"/>
      <c r="W92" s="20"/>
      <c r="X92" s="20"/>
      <c r="Y92" s="20"/>
      <c r="Z92" s="20"/>
      <c r="AA92" s="20" t="str">
        <f t="shared" si="6"/>
        <v/>
      </c>
      <c r="AB92" s="21">
        <f t="shared" si="7"/>
        <v>0</v>
      </c>
      <c r="AC92" s="20"/>
      <c r="AD92" s="20"/>
      <c r="AE92" s="20"/>
      <c r="AF92" s="20"/>
      <c r="AG92" s="20"/>
      <c r="AH92" s="22"/>
      <c r="AI92" s="23"/>
      <c r="AJ92" s="22"/>
      <c r="AK92" s="24" t="str">
        <f>IF(B92="","",AI92*Paramètres!$B$4+AJ92)</f>
        <v/>
      </c>
      <c r="AL92" s="25"/>
      <c r="AM92" s="25"/>
      <c r="AN92" s="27"/>
    </row>
    <row r="93" spans="1:40" ht="15">
      <c r="A93" s="16" t="str">
        <f t="shared" si="4"/>
        <v/>
      </c>
      <c r="B93" s="17"/>
      <c r="C93" s="16" t="str">
        <f t="shared" si="5"/>
        <v/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/>
      <c r="R93" s="20"/>
      <c r="S93" s="20"/>
      <c r="T93" s="20"/>
      <c r="U93" s="20"/>
      <c r="V93" s="20"/>
      <c r="W93" s="20"/>
      <c r="X93" s="20"/>
      <c r="Y93" s="20"/>
      <c r="Z93" s="20"/>
      <c r="AA93" s="20" t="str">
        <f t="shared" si="6"/>
        <v/>
      </c>
      <c r="AB93" s="21">
        <f t="shared" si="7"/>
        <v>0</v>
      </c>
      <c r="AC93" s="20"/>
      <c r="AD93" s="20"/>
      <c r="AE93" s="20"/>
      <c r="AF93" s="20"/>
      <c r="AG93" s="20"/>
      <c r="AH93" s="22"/>
      <c r="AI93" s="23"/>
      <c r="AJ93" s="22"/>
      <c r="AK93" s="24" t="str">
        <f>IF(B93="","",AI93*Paramètres!$B$4+AJ93)</f>
        <v/>
      </c>
      <c r="AL93" s="25"/>
      <c r="AM93" s="25"/>
      <c r="AN93" s="27"/>
    </row>
    <row r="94" spans="1:40" ht="15">
      <c r="A94" s="16" t="str">
        <f t="shared" si="4"/>
        <v/>
      </c>
      <c r="B94" s="17"/>
      <c r="C94" s="16" t="str">
        <f t="shared" si="5"/>
        <v/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9"/>
      <c r="R94" s="20"/>
      <c r="S94" s="20"/>
      <c r="T94" s="20"/>
      <c r="U94" s="20"/>
      <c r="V94" s="20"/>
      <c r="W94" s="20"/>
      <c r="X94" s="20"/>
      <c r="Y94" s="20"/>
      <c r="Z94" s="20"/>
      <c r="AA94" s="20" t="str">
        <f t="shared" si="6"/>
        <v/>
      </c>
      <c r="AB94" s="21">
        <f t="shared" si="7"/>
        <v>0</v>
      </c>
      <c r="AC94" s="20"/>
      <c r="AD94" s="20"/>
      <c r="AE94" s="20"/>
      <c r="AF94" s="20"/>
      <c r="AG94" s="20"/>
      <c r="AH94" s="22"/>
      <c r="AI94" s="23"/>
      <c r="AJ94" s="22"/>
      <c r="AK94" s="24" t="str">
        <f>IF(B94="","",AI94*Paramètres!$B$4+AJ94)</f>
        <v/>
      </c>
      <c r="AL94" s="25"/>
      <c r="AM94" s="25"/>
      <c r="AN94" s="27"/>
    </row>
    <row r="95" spans="1:40" ht="15">
      <c r="A95" s="16" t="str">
        <f t="shared" si="4"/>
        <v/>
      </c>
      <c r="B95" s="17"/>
      <c r="C95" s="16" t="str">
        <f t="shared" si="5"/>
        <v/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9"/>
      <c r="R95" s="20"/>
      <c r="S95" s="20"/>
      <c r="T95" s="20"/>
      <c r="U95" s="20"/>
      <c r="V95" s="20"/>
      <c r="W95" s="20"/>
      <c r="X95" s="20"/>
      <c r="Y95" s="20"/>
      <c r="Z95" s="20"/>
      <c r="AA95" s="20" t="str">
        <f t="shared" si="6"/>
        <v/>
      </c>
      <c r="AB95" s="21">
        <f t="shared" si="7"/>
        <v>0</v>
      </c>
      <c r="AC95" s="20"/>
      <c r="AD95" s="20"/>
      <c r="AE95" s="20"/>
      <c r="AF95" s="20"/>
      <c r="AG95" s="20"/>
      <c r="AH95" s="22"/>
      <c r="AI95" s="23"/>
      <c r="AJ95" s="22"/>
      <c r="AK95" s="24" t="str">
        <f>IF(B95="","",AI95*Paramètres!$B$4+AJ95)</f>
        <v/>
      </c>
      <c r="AL95" s="25"/>
      <c r="AM95" s="25"/>
      <c r="AN95" s="27"/>
    </row>
    <row r="96" spans="1:40" ht="15">
      <c r="A96" s="16" t="str">
        <f t="shared" si="4"/>
        <v/>
      </c>
      <c r="B96" s="17"/>
      <c r="C96" s="16" t="str">
        <f t="shared" si="5"/>
        <v/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9"/>
      <c r="R96" s="20"/>
      <c r="S96" s="20"/>
      <c r="T96" s="20"/>
      <c r="U96" s="20"/>
      <c r="V96" s="20"/>
      <c r="W96" s="20"/>
      <c r="X96" s="20"/>
      <c r="Y96" s="20"/>
      <c r="Z96" s="20"/>
      <c r="AA96" s="20" t="str">
        <f t="shared" si="6"/>
        <v/>
      </c>
      <c r="AB96" s="21">
        <f t="shared" si="7"/>
        <v>0</v>
      </c>
      <c r="AC96" s="20"/>
      <c r="AD96" s="20"/>
      <c r="AE96" s="20"/>
      <c r="AF96" s="20"/>
      <c r="AG96" s="20"/>
      <c r="AH96" s="22"/>
      <c r="AI96" s="23"/>
      <c r="AJ96" s="22"/>
      <c r="AK96" s="24" t="str">
        <f>IF(B96="","",AI96*Paramètres!$B$4+AJ96)</f>
        <v/>
      </c>
      <c r="AL96" s="25"/>
      <c r="AM96" s="25"/>
      <c r="AN96" s="27"/>
    </row>
    <row r="97" spans="1:40" ht="15">
      <c r="A97" s="16" t="str">
        <f t="shared" si="4"/>
        <v/>
      </c>
      <c r="B97" s="17"/>
      <c r="C97" s="16" t="str">
        <f t="shared" si="5"/>
        <v/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/>
      <c r="R97" s="20"/>
      <c r="S97" s="20"/>
      <c r="T97" s="20"/>
      <c r="U97" s="20"/>
      <c r="V97" s="20"/>
      <c r="W97" s="20"/>
      <c r="X97" s="20"/>
      <c r="Y97" s="20"/>
      <c r="Z97" s="20"/>
      <c r="AA97" s="20" t="str">
        <f t="shared" si="6"/>
        <v/>
      </c>
      <c r="AB97" s="21">
        <f t="shared" si="7"/>
        <v>0</v>
      </c>
      <c r="AC97" s="20"/>
      <c r="AD97" s="20"/>
      <c r="AE97" s="20"/>
      <c r="AF97" s="20"/>
      <c r="AG97" s="20"/>
      <c r="AH97" s="22"/>
      <c r="AI97" s="23"/>
      <c r="AJ97" s="22"/>
      <c r="AK97" s="24" t="str">
        <f>IF(B97="","",AI97*Paramètres!$B$4+AJ97)</f>
        <v/>
      </c>
      <c r="AL97" s="25"/>
      <c r="AM97" s="25"/>
      <c r="AN97" s="27"/>
    </row>
    <row r="98" spans="1:40" ht="15">
      <c r="A98" s="16" t="str">
        <f t="shared" si="4"/>
        <v/>
      </c>
      <c r="B98" s="17"/>
      <c r="C98" s="16" t="str">
        <f t="shared" si="5"/>
        <v/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9"/>
      <c r="R98" s="20"/>
      <c r="S98" s="20"/>
      <c r="T98" s="20"/>
      <c r="U98" s="20"/>
      <c r="V98" s="20"/>
      <c r="W98" s="20"/>
      <c r="X98" s="20"/>
      <c r="Y98" s="20"/>
      <c r="Z98" s="20"/>
      <c r="AA98" s="20" t="str">
        <f t="shared" si="6"/>
        <v/>
      </c>
      <c r="AB98" s="21">
        <f t="shared" si="7"/>
        <v>0</v>
      </c>
      <c r="AC98" s="20"/>
      <c r="AD98" s="20"/>
      <c r="AE98" s="20"/>
      <c r="AF98" s="20"/>
      <c r="AG98" s="20"/>
      <c r="AH98" s="22"/>
      <c r="AI98" s="23"/>
      <c r="AJ98" s="22"/>
      <c r="AK98" s="24" t="str">
        <f>IF(B98="","",AI98*Paramètres!$B$4+AJ98)</f>
        <v/>
      </c>
      <c r="AL98" s="25"/>
      <c r="AM98" s="25"/>
      <c r="AN98" s="27"/>
    </row>
    <row r="99" spans="1:40" ht="15">
      <c r="A99" s="16" t="str">
        <f t="shared" si="4"/>
        <v/>
      </c>
      <c r="B99" s="17"/>
      <c r="C99" s="16" t="str">
        <f t="shared" si="5"/>
        <v/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/>
      <c r="R99" s="20"/>
      <c r="S99" s="20"/>
      <c r="T99" s="20"/>
      <c r="U99" s="20"/>
      <c r="V99" s="20"/>
      <c r="W99" s="20"/>
      <c r="X99" s="20"/>
      <c r="Y99" s="20"/>
      <c r="Z99" s="20"/>
      <c r="AA99" s="20" t="str">
        <f t="shared" si="6"/>
        <v/>
      </c>
      <c r="AB99" s="21">
        <f t="shared" si="7"/>
        <v>0</v>
      </c>
      <c r="AC99" s="20"/>
      <c r="AD99" s="20"/>
      <c r="AE99" s="20"/>
      <c r="AF99" s="20"/>
      <c r="AG99" s="20"/>
      <c r="AH99" s="22"/>
      <c r="AI99" s="23"/>
      <c r="AJ99" s="22"/>
      <c r="AK99" s="24" t="str">
        <f>IF(B99="","",AI99*Paramètres!$B$4+AJ99)</f>
        <v/>
      </c>
      <c r="AL99" s="25"/>
      <c r="AM99" s="25"/>
      <c r="AN99" s="27"/>
    </row>
    <row r="100" spans="1:40" ht="15">
      <c r="A100" s="16" t="str">
        <f t="shared" si="4"/>
        <v/>
      </c>
      <c r="B100" s="17"/>
      <c r="C100" s="16" t="str">
        <f t="shared" si="5"/>
        <v/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/>
      <c r="R100" s="20"/>
      <c r="S100" s="20"/>
      <c r="T100" s="20"/>
      <c r="U100" s="20"/>
      <c r="V100" s="20"/>
      <c r="W100" s="20"/>
      <c r="X100" s="20"/>
      <c r="Y100" s="20"/>
      <c r="Z100" s="20"/>
      <c r="AA100" s="20" t="str">
        <f t="shared" si="6"/>
        <v/>
      </c>
      <c r="AB100" s="21">
        <f t="shared" si="7"/>
        <v>0</v>
      </c>
      <c r="AC100" s="20"/>
      <c r="AD100" s="20"/>
      <c r="AE100" s="20"/>
      <c r="AF100" s="20"/>
      <c r="AG100" s="20"/>
      <c r="AH100" s="22"/>
      <c r="AI100" s="23"/>
      <c r="AJ100" s="22"/>
      <c r="AK100" s="24" t="str">
        <f>IF(B100="","",AI100*Paramètres!$B$4+AJ100)</f>
        <v/>
      </c>
      <c r="AL100" s="25"/>
      <c r="AM100" s="25"/>
      <c r="AN100" s="27"/>
    </row>
    <row r="101" spans="1:40" ht="15">
      <c r="A101" s="16" t="str">
        <f t="shared" si="4"/>
        <v/>
      </c>
      <c r="B101" s="17"/>
      <c r="C101" s="16" t="str">
        <f t="shared" si="5"/>
        <v/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9"/>
      <c r="R101" s="20"/>
      <c r="S101" s="20"/>
      <c r="T101" s="20"/>
      <c r="U101" s="20"/>
      <c r="V101" s="20"/>
      <c r="W101" s="20"/>
      <c r="X101" s="20"/>
      <c r="Y101" s="20"/>
      <c r="Z101" s="20"/>
      <c r="AA101" s="20" t="str">
        <f t="shared" si="6"/>
        <v/>
      </c>
      <c r="AB101" s="21">
        <f t="shared" si="7"/>
        <v>0</v>
      </c>
      <c r="AC101" s="20"/>
      <c r="AD101" s="20"/>
      <c r="AE101" s="20"/>
      <c r="AF101" s="20"/>
      <c r="AG101" s="20"/>
      <c r="AH101" s="22"/>
      <c r="AI101" s="23"/>
      <c r="AJ101" s="22"/>
      <c r="AK101" s="24" t="str">
        <f>IF(B101="","",AI101*Paramètres!$B$4+AJ101)</f>
        <v/>
      </c>
      <c r="AL101" s="25"/>
      <c r="AM101" s="25"/>
      <c r="AN101" s="27"/>
    </row>
    <row r="102" spans="1:40" ht="15">
      <c r="A102" s="16" t="str">
        <f t="shared" si="4"/>
        <v/>
      </c>
      <c r="B102" s="17"/>
      <c r="C102" s="16" t="str">
        <f t="shared" si="5"/>
        <v/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9"/>
      <c r="R102" s="20"/>
      <c r="S102" s="20"/>
      <c r="T102" s="20"/>
      <c r="U102" s="20"/>
      <c r="V102" s="20"/>
      <c r="W102" s="20"/>
      <c r="X102" s="20"/>
      <c r="Y102" s="20"/>
      <c r="Z102" s="20"/>
      <c r="AA102" s="20" t="str">
        <f t="shared" si="6"/>
        <v/>
      </c>
      <c r="AB102" s="21">
        <f t="shared" si="7"/>
        <v>0</v>
      </c>
      <c r="AC102" s="20"/>
      <c r="AD102" s="20"/>
      <c r="AE102" s="20"/>
      <c r="AF102" s="20"/>
      <c r="AG102" s="20"/>
      <c r="AH102" s="22"/>
      <c r="AI102" s="23"/>
      <c r="AJ102" s="22"/>
      <c r="AK102" s="24" t="str">
        <f>IF(B102="","",AI102*Paramètres!$B$4+AJ102)</f>
        <v/>
      </c>
      <c r="AL102" s="25"/>
      <c r="AM102" s="25"/>
      <c r="AN102" s="27"/>
    </row>
    <row r="103" spans="1:40" ht="15">
      <c r="A103" s="16" t="str">
        <f t="shared" si="4"/>
        <v/>
      </c>
      <c r="B103" s="17"/>
      <c r="C103" s="16" t="str">
        <f t="shared" si="5"/>
        <v/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9"/>
      <c r="R103" s="20"/>
      <c r="S103" s="20"/>
      <c r="T103" s="20"/>
      <c r="U103" s="20"/>
      <c r="V103" s="20"/>
      <c r="W103" s="20"/>
      <c r="X103" s="20"/>
      <c r="Y103" s="20"/>
      <c r="Z103" s="20"/>
      <c r="AA103" s="20" t="str">
        <f t="shared" si="6"/>
        <v/>
      </c>
      <c r="AB103" s="21">
        <f t="shared" si="7"/>
        <v>0</v>
      </c>
      <c r="AC103" s="20"/>
      <c r="AD103" s="20"/>
      <c r="AE103" s="20"/>
      <c r="AF103" s="20"/>
      <c r="AG103" s="20"/>
      <c r="AH103" s="22"/>
      <c r="AI103" s="23"/>
      <c r="AJ103" s="22"/>
      <c r="AK103" s="24" t="str">
        <f>IF(B103="","",AI103*Paramètres!$B$4+AJ103)</f>
        <v/>
      </c>
      <c r="AL103" s="25"/>
      <c r="AM103" s="25"/>
      <c r="AN103" s="27"/>
    </row>
    <row r="104" spans="1:40" ht="15">
      <c r="A104" s="16" t="str">
        <f t="shared" si="4"/>
        <v/>
      </c>
      <c r="B104" s="17"/>
      <c r="C104" s="16" t="str">
        <f t="shared" si="5"/>
        <v/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9"/>
      <c r="R104" s="20"/>
      <c r="S104" s="20"/>
      <c r="T104" s="20"/>
      <c r="U104" s="20"/>
      <c r="V104" s="20"/>
      <c r="W104" s="20"/>
      <c r="X104" s="20"/>
      <c r="Y104" s="20"/>
      <c r="Z104" s="20"/>
      <c r="AA104" s="20" t="str">
        <f t="shared" si="6"/>
        <v/>
      </c>
      <c r="AB104" s="21">
        <f t="shared" si="7"/>
        <v>0</v>
      </c>
      <c r="AC104" s="20"/>
      <c r="AD104" s="20"/>
      <c r="AE104" s="20"/>
      <c r="AF104" s="20"/>
      <c r="AG104" s="20"/>
      <c r="AH104" s="22"/>
      <c r="AI104" s="23"/>
      <c r="AJ104" s="22"/>
      <c r="AK104" s="24" t="str">
        <f>IF(B104="","",AI104*Paramètres!$B$4+AJ104)</f>
        <v/>
      </c>
      <c r="AL104" s="25"/>
      <c r="AM104" s="25"/>
      <c r="AN104" s="27"/>
    </row>
    <row r="105" spans="1:40" ht="15">
      <c r="A105" s="16" t="str">
        <f t="shared" si="4"/>
        <v/>
      </c>
      <c r="B105" s="17"/>
      <c r="C105" s="16" t="str">
        <f t="shared" si="5"/>
        <v/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9"/>
      <c r="R105" s="20"/>
      <c r="S105" s="20"/>
      <c r="T105" s="20"/>
      <c r="U105" s="20"/>
      <c r="V105" s="20"/>
      <c r="W105" s="20"/>
      <c r="X105" s="20"/>
      <c r="Y105" s="20"/>
      <c r="Z105" s="20"/>
      <c r="AA105" s="20" t="str">
        <f t="shared" si="6"/>
        <v/>
      </c>
      <c r="AB105" s="21">
        <f t="shared" si="7"/>
        <v>0</v>
      </c>
      <c r="AC105" s="20"/>
      <c r="AD105" s="20"/>
      <c r="AE105" s="20"/>
      <c r="AF105" s="20"/>
      <c r="AG105" s="20"/>
      <c r="AH105" s="22"/>
      <c r="AI105" s="23"/>
      <c r="AJ105" s="22"/>
      <c r="AK105" s="24" t="str">
        <f>IF(B105="","",AI105*Paramètres!$B$4+AJ105)</f>
        <v/>
      </c>
      <c r="AL105" s="25"/>
      <c r="AM105" s="25"/>
      <c r="AN105" s="27"/>
    </row>
    <row r="106" spans="1:40" ht="15">
      <c r="A106" s="16" t="str">
        <f t="shared" si="4"/>
        <v/>
      </c>
      <c r="B106" s="17"/>
      <c r="C106" s="16" t="str">
        <f t="shared" si="5"/>
        <v/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9"/>
      <c r="R106" s="20"/>
      <c r="S106" s="20"/>
      <c r="T106" s="20"/>
      <c r="U106" s="20"/>
      <c r="V106" s="20"/>
      <c r="W106" s="20"/>
      <c r="X106" s="20"/>
      <c r="Y106" s="20"/>
      <c r="Z106" s="20"/>
      <c r="AA106" s="20" t="str">
        <f t="shared" si="6"/>
        <v/>
      </c>
      <c r="AB106" s="21">
        <f t="shared" si="7"/>
        <v>0</v>
      </c>
      <c r="AC106" s="20"/>
      <c r="AD106" s="20"/>
      <c r="AE106" s="20"/>
      <c r="AF106" s="20"/>
      <c r="AG106" s="20"/>
      <c r="AH106" s="22"/>
      <c r="AI106" s="23"/>
      <c r="AJ106" s="22"/>
      <c r="AK106" s="24" t="str">
        <f>IF(B106="","",AI106*Paramètres!$B$4+AJ106)</f>
        <v/>
      </c>
      <c r="AL106" s="25"/>
      <c r="AM106" s="25"/>
      <c r="AN106" s="27"/>
    </row>
    <row r="107" spans="1:40" ht="15">
      <c r="A107" s="16" t="str">
        <f t="shared" si="4"/>
        <v/>
      </c>
      <c r="B107" s="17"/>
      <c r="C107" s="16" t="str">
        <f t="shared" si="5"/>
        <v/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9"/>
      <c r="R107" s="20"/>
      <c r="S107" s="20"/>
      <c r="T107" s="20"/>
      <c r="U107" s="20"/>
      <c r="V107" s="20"/>
      <c r="W107" s="20"/>
      <c r="X107" s="20"/>
      <c r="Y107" s="20"/>
      <c r="Z107" s="20"/>
      <c r="AA107" s="20" t="str">
        <f t="shared" si="6"/>
        <v/>
      </c>
      <c r="AB107" s="21">
        <f t="shared" si="7"/>
        <v>0</v>
      </c>
      <c r="AC107" s="20"/>
      <c r="AD107" s="20"/>
      <c r="AE107" s="20"/>
      <c r="AF107" s="20"/>
      <c r="AG107" s="20"/>
      <c r="AH107" s="22"/>
      <c r="AI107" s="23"/>
      <c r="AJ107" s="22"/>
      <c r="AK107" s="24" t="str">
        <f>IF(B107="","",AI107*Paramètres!$B$4+AJ107)</f>
        <v/>
      </c>
      <c r="AL107" s="25"/>
      <c r="AM107" s="25"/>
      <c r="AN107" s="27"/>
    </row>
    <row r="108" spans="1:40" ht="15">
      <c r="A108" s="16" t="str">
        <f t="shared" si="4"/>
        <v/>
      </c>
      <c r="B108" s="17"/>
      <c r="C108" s="16" t="str">
        <f t="shared" si="5"/>
        <v/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9"/>
      <c r="R108" s="20"/>
      <c r="S108" s="20"/>
      <c r="T108" s="20"/>
      <c r="U108" s="20"/>
      <c r="V108" s="20"/>
      <c r="W108" s="20"/>
      <c r="X108" s="20"/>
      <c r="Y108" s="20"/>
      <c r="Z108" s="20"/>
      <c r="AA108" s="20" t="str">
        <f t="shared" si="6"/>
        <v/>
      </c>
      <c r="AB108" s="21">
        <f t="shared" si="7"/>
        <v>0</v>
      </c>
      <c r="AC108" s="20"/>
      <c r="AD108" s="20"/>
      <c r="AE108" s="20"/>
      <c r="AF108" s="20"/>
      <c r="AG108" s="20"/>
      <c r="AH108" s="22"/>
      <c r="AI108" s="23"/>
      <c r="AJ108" s="22"/>
      <c r="AK108" s="24" t="str">
        <f>IF(B108="","",AI108*Paramètres!$B$4+AJ108)</f>
        <v/>
      </c>
      <c r="AL108" s="25"/>
      <c r="AM108" s="25"/>
      <c r="AN108" s="27"/>
    </row>
    <row r="109" spans="1:40" ht="15">
      <c r="A109" s="16" t="str">
        <f t="shared" si="4"/>
        <v/>
      </c>
      <c r="B109" s="17"/>
      <c r="C109" s="16" t="str">
        <f t="shared" si="5"/>
        <v/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9"/>
      <c r="R109" s="20"/>
      <c r="S109" s="20"/>
      <c r="T109" s="20"/>
      <c r="U109" s="20"/>
      <c r="V109" s="20"/>
      <c r="W109" s="20"/>
      <c r="X109" s="20"/>
      <c r="Y109" s="20"/>
      <c r="Z109" s="20"/>
      <c r="AA109" s="20" t="str">
        <f t="shared" si="6"/>
        <v/>
      </c>
      <c r="AB109" s="21">
        <f t="shared" si="7"/>
        <v>0</v>
      </c>
      <c r="AC109" s="20"/>
      <c r="AD109" s="20"/>
      <c r="AE109" s="20"/>
      <c r="AF109" s="20"/>
      <c r="AG109" s="20"/>
      <c r="AH109" s="22"/>
      <c r="AI109" s="23"/>
      <c r="AJ109" s="22"/>
      <c r="AK109" s="24" t="str">
        <f>IF(B109="","",AI109*Paramètres!$B$4+AJ109)</f>
        <v/>
      </c>
      <c r="AL109" s="25"/>
      <c r="AM109" s="25"/>
      <c r="AN109" s="27"/>
    </row>
    <row r="110" spans="1:40" ht="15">
      <c r="A110" s="16" t="str">
        <f t="shared" si="4"/>
        <v/>
      </c>
      <c r="B110" s="17"/>
      <c r="C110" s="16" t="str">
        <f t="shared" si="5"/>
        <v/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9"/>
      <c r="R110" s="20"/>
      <c r="S110" s="20"/>
      <c r="T110" s="20"/>
      <c r="U110" s="20"/>
      <c r="V110" s="20"/>
      <c r="W110" s="20"/>
      <c r="X110" s="20"/>
      <c r="Y110" s="20"/>
      <c r="Z110" s="20"/>
      <c r="AA110" s="20" t="str">
        <f t="shared" si="6"/>
        <v/>
      </c>
      <c r="AB110" s="21">
        <f t="shared" si="7"/>
        <v>0</v>
      </c>
      <c r="AC110" s="20"/>
      <c r="AD110" s="20"/>
      <c r="AE110" s="20"/>
      <c r="AF110" s="20"/>
      <c r="AG110" s="20"/>
      <c r="AH110" s="22"/>
      <c r="AI110" s="23"/>
      <c r="AJ110" s="22"/>
      <c r="AK110" s="24" t="str">
        <f>IF(B110="","",AI110*Paramètres!$B$4+AJ110)</f>
        <v/>
      </c>
      <c r="AL110" s="25"/>
      <c r="AM110" s="25"/>
      <c r="AN110" s="27"/>
    </row>
    <row r="111" spans="1:40" ht="15">
      <c r="A111" s="16" t="str">
        <f t="shared" si="4"/>
        <v/>
      </c>
      <c r="B111" s="17"/>
      <c r="C111" s="16" t="str">
        <f t="shared" si="5"/>
        <v/>
      </c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9"/>
      <c r="R111" s="20"/>
      <c r="S111" s="20"/>
      <c r="T111" s="20"/>
      <c r="U111" s="20"/>
      <c r="V111" s="20"/>
      <c r="W111" s="20"/>
      <c r="X111" s="20"/>
      <c r="Y111" s="20"/>
      <c r="Z111" s="20"/>
      <c r="AA111" s="20" t="str">
        <f t="shared" si="6"/>
        <v/>
      </c>
      <c r="AB111" s="21">
        <f t="shared" si="7"/>
        <v>0</v>
      </c>
      <c r="AC111" s="20"/>
      <c r="AD111" s="20"/>
      <c r="AE111" s="20"/>
      <c r="AF111" s="20"/>
      <c r="AG111" s="20"/>
      <c r="AH111" s="22"/>
      <c r="AI111" s="23"/>
      <c r="AJ111" s="22"/>
      <c r="AK111" s="24" t="str">
        <f>IF(B111="","",AI111*Paramètres!$B$4+AJ111)</f>
        <v/>
      </c>
      <c r="AL111" s="25"/>
      <c r="AM111" s="25"/>
      <c r="AN111" s="27"/>
    </row>
    <row r="112" spans="1:40" ht="15">
      <c r="A112" s="16" t="str">
        <f t="shared" si="4"/>
        <v/>
      </c>
      <c r="B112" s="17"/>
      <c r="C112" s="16" t="str">
        <f t="shared" si="5"/>
        <v/>
      </c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9"/>
      <c r="R112" s="20"/>
      <c r="S112" s="20"/>
      <c r="T112" s="20"/>
      <c r="U112" s="20"/>
      <c r="V112" s="20"/>
      <c r="W112" s="20"/>
      <c r="X112" s="20"/>
      <c r="Y112" s="20"/>
      <c r="Z112" s="20"/>
      <c r="AA112" s="20" t="str">
        <f t="shared" si="6"/>
        <v/>
      </c>
      <c r="AB112" s="21">
        <f t="shared" si="7"/>
        <v>0</v>
      </c>
      <c r="AC112" s="20"/>
      <c r="AD112" s="20"/>
      <c r="AE112" s="20"/>
      <c r="AF112" s="20"/>
      <c r="AG112" s="20"/>
      <c r="AH112" s="22"/>
      <c r="AI112" s="23"/>
      <c r="AJ112" s="22"/>
      <c r="AK112" s="24" t="str">
        <f>IF(B112="","",AI112*Paramètres!$B$4+AJ112)</f>
        <v/>
      </c>
      <c r="AL112" s="25"/>
      <c r="AM112" s="25"/>
      <c r="AN112" s="27"/>
    </row>
    <row r="113" spans="1:40" ht="15">
      <c r="A113" s="16" t="str">
        <f t="shared" si="4"/>
        <v/>
      </c>
      <c r="B113" s="17"/>
      <c r="C113" s="16" t="str">
        <f t="shared" si="5"/>
        <v/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9"/>
      <c r="R113" s="20"/>
      <c r="S113" s="20"/>
      <c r="T113" s="20"/>
      <c r="U113" s="20"/>
      <c r="V113" s="20"/>
      <c r="W113" s="20"/>
      <c r="X113" s="20"/>
      <c r="Y113" s="20"/>
      <c r="Z113" s="20"/>
      <c r="AA113" s="20" t="str">
        <f t="shared" si="6"/>
        <v/>
      </c>
      <c r="AB113" s="21">
        <f t="shared" si="7"/>
        <v>0</v>
      </c>
      <c r="AC113" s="20"/>
      <c r="AD113" s="20"/>
      <c r="AE113" s="20"/>
      <c r="AF113" s="20"/>
      <c r="AG113" s="20"/>
      <c r="AH113" s="22"/>
      <c r="AI113" s="23"/>
      <c r="AJ113" s="22"/>
      <c r="AK113" s="24" t="str">
        <f>IF(B113="","",AI113*Paramètres!$B$4+AJ113)</f>
        <v/>
      </c>
      <c r="AL113" s="25"/>
      <c r="AM113" s="25"/>
      <c r="AN113" s="27"/>
    </row>
    <row r="114" spans="1:40" ht="15">
      <c r="A114" s="16" t="str">
        <f t="shared" si="4"/>
        <v/>
      </c>
      <c r="B114" s="17"/>
      <c r="C114" s="16" t="str">
        <f t="shared" si="5"/>
        <v/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9"/>
      <c r="R114" s="20"/>
      <c r="S114" s="20"/>
      <c r="T114" s="20"/>
      <c r="U114" s="20"/>
      <c r="V114" s="20"/>
      <c r="W114" s="20"/>
      <c r="X114" s="20"/>
      <c r="Y114" s="20"/>
      <c r="Z114" s="20"/>
      <c r="AA114" s="20" t="str">
        <f t="shared" si="6"/>
        <v/>
      </c>
      <c r="AB114" s="21">
        <f t="shared" si="7"/>
        <v>0</v>
      </c>
      <c r="AC114" s="20"/>
      <c r="AD114" s="20"/>
      <c r="AE114" s="20"/>
      <c r="AF114" s="20"/>
      <c r="AG114" s="20"/>
      <c r="AH114" s="22"/>
      <c r="AI114" s="23"/>
      <c r="AJ114" s="22"/>
      <c r="AK114" s="24" t="str">
        <f>IF(B114="","",AI114*Paramètres!$B$4+AJ114)</f>
        <v/>
      </c>
      <c r="AL114" s="25"/>
      <c r="AM114" s="25"/>
      <c r="AN114" s="27"/>
    </row>
    <row r="115" spans="1:40" ht="15">
      <c r="A115" s="16" t="str">
        <f t="shared" si="4"/>
        <v/>
      </c>
      <c r="B115" s="17"/>
      <c r="C115" s="16" t="str">
        <f t="shared" si="5"/>
        <v/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9"/>
      <c r="R115" s="20"/>
      <c r="S115" s="20"/>
      <c r="T115" s="20"/>
      <c r="U115" s="20"/>
      <c r="V115" s="20"/>
      <c r="W115" s="20"/>
      <c r="X115" s="20"/>
      <c r="Y115" s="20"/>
      <c r="Z115" s="20"/>
      <c r="AA115" s="20" t="str">
        <f t="shared" si="6"/>
        <v/>
      </c>
      <c r="AB115" s="21">
        <f t="shared" si="7"/>
        <v>0</v>
      </c>
      <c r="AC115" s="20"/>
      <c r="AD115" s="20"/>
      <c r="AE115" s="20"/>
      <c r="AF115" s="20"/>
      <c r="AG115" s="20"/>
      <c r="AH115" s="22"/>
      <c r="AI115" s="23"/>
      <c r="AJ115" s="22"/>
      <c r="AK115" s="24" t="str">
        <f>IF(B115="","",AI115*Paramètres!$B$4+AJ115)</f>
        <v/>
      </c>
      <c r="AL115" s="25"/>
      <c r="AM115" s="25"/>
      <c r="AN115" s="27"/>
    </row>
    <row r="116" spans="1:40" ht="15">
      <c r="A116" s="16" t="str">
        <f t="shared" si="4"/>
        <v/>
      </c>
      <c r="B116" s="17"/>
      <c r="C116" s="16" t="str">
        <f t="shared" si="5"/>
        <v/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9"/>
      <c r="R116" s="20"/>
      <c r="S116" s="20"/>
      <c r="T116" s="20"/>
      <c r="U116" s="20"/>
      <c r="V116" s="20"/>
      <c r="W116" s="20"/>
      <c r="X116" s="20"/>
      <c r="Y116" s="20"/>
      <c r="Z116" s="20"/>
      <c r="AA116" s="20" t="str">
        <f t="shared" si="6"/>
        <v/>
      </c>
      <c r="AB116" s="21">
        <f t="shared" si="7"/>
        <v>0</v>
      </c>
      <c r="AC116" s="20"/>
      <c r="AD116" s="20"/>
      <c r="AE116" s="20"/>
      <c r="AF116" s="20"/>
      <c r="AG116" s="20"/>
      <c r="AH116" s="22"/>
      <c r="AI116" s="23"/>
      <c r="AJ116" s="22"/>
      <c r="AK116" s="24" t="str">
        <f>IF(B116="","",AI116*Paramètres!$B$4+AJ116)</f>
        <v/>
      </c>
      <c r="AL116" s="25"/>
      <c r="AM116" s="25"/>
      <c r="AN116" s="27"/>
    </row>
    <row r="117" spans="1:40" ht="15">
      <c r="A117" s="16" t="str">
        <f t="shared" si="4"/>
        <v/>
      </c>
      <c r="B117" s="17"/>
      <c r="C117" s="16" t="str">
        <f t="shared" si="5"/>
        <v/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9"/>
      <c r="R117" s="20"/>
      <c r="S117" s="20"/>
      <c r="T117" s="20"/>
      <c r="U117" s="20"/>
      <c r="V117" s="20"/>
      <c r="W117" s="20"/>
      <c r="X117" s="20"/>
      <c r="Y117" s="20"/>
      <c r="Z117" s="20"/>
      <c r="AA117" s="20" t="str">
        <f t="shared" si="6"/>
        <v/>
      </c>
      <c r="AB117" s="21">
        <f t="shared" si="7"/>
        <v>0</v>
      </c>
      <c r="AC117" s="20"/>
      <c r="AD117" s="20"/>
      <c r="AE117" s="20"/>
      <c r="AF117" s="20"/>
      <c r="AG117" s="20"/>
      <c r="AH117" s="22"/>
      <c r="AI117" s="23"/>
      <c r="AJ117" s="22"/>
      <c r="AK117" s="24" t="str">
        <f>IF(B117="","",AI117*Paramètres!$B$4+AJ117)</f>
        <v/>
      </c>
      <c r="AL117" s="25"/>
      <c r="AM117" s="25"/>
      <c r="AN117" s="27"/>
    </row>
    <row r="118" spans="1:40" ht="15">
      <c r="A118" s="16" t="str">
        <f t="shared" si="4"/>
        <v/>
      </c>
      <c r="B118" s="17"/>
      <c r="C118" s="16" t="str">
        <f t="shared" si="5"/>
        <v/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9"/>
      <c r="R118" s="20"/>
      <c r="S118" s="20"/>
      <c r="T118" s="20"/>
      <c r="U118" s="20"/>
      <c r="V118" s="20"/>
      <c r="W118" s="20"/>
      <c r="X118" s="20"/>
      <c r="Y118" s="20"/>
      <c r="Z118" s="20"/>
      <c r="AA118" s="20" t="str">
        <f t="shared" si="6"/>
        <v/>
      </c>
      <c r="AB118" s="21">
        <f t="shared" si="7"/>
        <v>0</v>
      </c>
      <c r="AC118" s="20"/>
      <c r="AD118" s="20"/>
      <c r="AE118" s="20"/>
      <c r="AF118" s="20"/>
      <c r="AG118" s="20"/>
      <c r="AH118" s="22"/>
      <c r="AI118" s="23"/>
      <c r="AJ118" s="22"/>
      <c r="AK118" s="24" t="str">
        <f>IF(B118="","",AI118*Paramètres!$B$4+AJ118)</f>
        <v/>
      </c>
      <c r="AL118" s="25"/>
      <c r="AM118" s="25"/>
      <c r="AN118" s="27"/>
    </row>
    <row r="119" spans="1:40" ht="15">
      <c r="A119" s="16" t="str">
        <f t="shared" si="4"/>
        <v/>
      </c>
      <c r="B119" s="17"/>
      <c r="C119" s="16" t="str">
        <f t="shared" si="5"/>
        <v/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9"/>
      <c r="R119" s="20"/>
      <c r="S119" s="20"/>
      <c r="T119" s="20"/>
      <c r="U119" s="20"/>
      <c r="V119" s="20"/>
      <c r="W119" s="20"/>
      <c r="X119" s="20"/>
      <c r="Y119" s="20"/>
      <c r="Z119" s="20"/>
      <c r="AA119" s="20" t="str">
        <f t="shared" si="6"/>
        <v/>
      </c>
      <c r="AB119" s="21">
        <f t="shared" si="7"/>
        <v>0</v>
      </c>
      <c r="AC119" s="20"/>
      <c r="AD119" s="20"/>
      <c r="AE119" s="20"/>
      <c r="AF119" s="20"/>
      <c r="AG119" s="20"/>
      <c r="AH119" s="22"/>
      <c r="AI119" s="23"/>
      <c r="AJ119" s="22"/>
      <c r="AK119" s="24" t="str">
        <f>IF(B119="","",AI119*Paramètres!$B$4+AJ119)</f>
        <v/>
      </c>
      <c r="AL119" s="25"/>
      <c r="AM119" s="25"/>
      <c r="AN119" s="27"/>
    </row>
    <row r="120" spans="1:40" ht="15">
      <c r="A120" s="16" t="str">
        <f t="shared" si="4"/>
        <v/>
      </c>
      <c r="B120" s="17"/>
      <c r="C120" s="16" t="str">
        <f t="shared" si="5"/>
        <v/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9"/>
      <c r="R120" s="20"/>
      <c r="S120" s="20"/>
      <c r="T120" s="20"/>
      <c r="U120" s="20"/>
      <c r="V120" s="20"/>
      <c r="W120" s="20"/>
      <c r="X120" s="20"/>
      <c r="Y120" s="20"/>
      <c r="Z120" s="20"/>
      <c r="AA120" s="20" t="str">
        <f t="shared" si="6"/>
        <v/>
      </c>
      <c r="AB120" s="21">
        <f t="shared" si="7"/>
        <v>0</v>
      </c>
      <c r="AC120" s="20"/>
      <c r="AD120" s="20"/>
      <c r="AE120" s="20"/>
      <c r="AF120" s="20"/>
      <c r="AG120" s="20"/>
      <c r="AH120" s="22"/>
      <c r="AI120" s="23"/>
      <c r="AJ120" s="22"/>
      <c r="AK120" s="24" t="str">
        <f>IF(B120="","",AI120*Paramètres!$B$4+AJ120)</f>
        <v/>
      </c>
      <c r="AL120" s="25"/>
      <c r="AM120" s="25"/>
      <c r="AN120" s="27"/>
    </row>
    <row r="121" spans="1:40" ht="15">
      <c r="A121" s="16" t="str">
        <f t="shared" si="4"/>
        <v/>
      </c>
      <c r="B121" s="17"/>
      <c r="C121" s="16" t="str">
        <f t="shared" si="5"/>
        <v/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9"/>
      <c r="R121" s="20"/>
      <c r="S121" s="20"/>
      <c r="T121" s="20"/>
      <c r="U121" s="20"/>
      <c r="V121" s="20"/>
      <c r="W121" s="20"/>
      <c r="X121" s="20"/>
      <c r="Y121" s="20"/>
      <c r="Z121" s="20"/>
      <c r="AA121" s="20" t="str">
        <f t="shared" si="6"/>
        <v/>
      </c>
      <c r="AB121" s="21">
        <f t="shared" si="7"/>
        <v>0</v>
      </c>
      <c r="AC121" s="20"/>
      <c r="AD121" s="20"/>
      <c r="AE121" s="20"/>
      <c r="AF121" s="20"/>
      <c r="AG121" s="20"/>
      <c r="AH121" s="22"/>
      <c r="AI121" s="23"/>
      <c r="AJ121" s="22"/>
      <c r="AK121" s="24" t="str">
        <f>IF(B121="","",AI121*Paramètres!$B$4+AJ121)</f>
        <v/>
      </c>
      <c r="AL121" s="25"/>
      <c r="AM121" s="25"/>
      <c r="AN121" s="27"/>
    </row>
    <row r="122" spans="1:40" ht="15">
      <c r="A122" s="16" t="str">
        <f t="shared" si="4"/>
        <v/>
      </c>
      <c r="B122" s="17"/>
      <c r="C122" s="16" t="str">
        <f t="shared" si="5"/>
        <v/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9"/>
      <c r="R122" s="20"/>
      <c r="S122" s="20"/>
      <c r="T122" s="20"/>
      <c r="U122" s="20"/>
      <c r="V122" s="20"/>
      <c r="W122" s="20"/>
      <c r="X122" s="20"/>
      <c r="Y122" s="20"/>
      <c r="Z122" s="20"/>
      <c r="AA122" s="20" t="str">
        <f t="shared" si="6"/>
        <v/>
      </c>
      <c r="AB122" s="21">
        <f t="shared" si="7"/>
        <v>0</v>
      </c>
      <c r="AC122" s="20"/>
      <c r="AD122" s="20"/>
      <c r="AE122" s="20"/>
      <c r="AF122" s="20"/>
      <c r="AG122" s="20"/>
      <c r="AH122" s="22"/>
      <c r="AI122" s="23"/>
      <c r="AJ122" s="22"/>
      <c r="AK122" s="24" t="str">
        <f>IF(B122="","",AI122*Paramètres!$B$4+AJ122)</f>
        <v/>
      </c>
      <c r="AL122" s="25"/>
      <c r="AM122" s="25"/>
      <c r="AN122" s="27"/>
    </row>
    <row r="123" spans="1:40" ht="15">
      <c r="A123" s="16" t="str">
        <f t="shared" si="4"/>
        <v/>
      </c>
      <c r="B123" s="17"/>
      <c r="C123" s="16" t="str">
        <f t="shared" si="5"/>
        <v/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9"/>
      <c r="R123" s="20"/>
      <c r="S123" s="20"/>
      <c r="T123" s="20"/>
      <c r="U123" s="20"/>
      <c r="V123" s="20"/>
      <c r="W123" s="20"/>
      <c r="X123" s="20"/>
      <c r="Y123" s="20"/>
      <c r="Z123" s="20"/>
      <c r="AA123" s="20" t="str">
        <f t="shared" si="6"/>
        <v/>
      </c>
      <c r="AB123" s="21">
        <f t="shared" si="7"/>
        <v>0</v>
      </c>
      <c r="AC123" s="20"/>
      <c r="AD123" s="20"/>
      <c r="AE123" s="20"/>
      <c r="AF123" s="20"/>
      <c r="AG123" s="20"/>
      <c r="AH123" s="22"/>
      <c r="AI123" s="23"/>
      <c r="AJ123" s="22"/>
      <c r="AK123" s="24" t="str">
        <f>IF(B123="","",AI123*Paramètres!$B$4+AJ123)</f>
        <v/>
      </c>
      <c r="AL123" s="25"/>
      <c r="AM123" s="25"/>
      <c r="AN123" s="27"/>
    </row>
    <row r="124" spans="1:40" ht="15">
      <c r="A124" s="16" t="str">
        <f t="shared" si="4"/>
        <v/>
      </c>
      <c r="B124" s="17"/>
      <c r="C124" s="16" t="str">
        <f t="shared" si="5"/>
        <v/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9"/>
      <c r="R124" s="20"/>
      <c r="S124" s="20"/>
      <c r="T124" s="20"/>
      <c r="U124" s="20"/>
      <c r="V124" s="20"/>
      <c r="W124" s="20"/>
      <c r="X124" s="20"/>
      <c r="Y124" s="20"/>
      <c r="Z124" s="20"/>
      <c r="AA124" s="20" t="str">
        <f t="shared" si="6"/>
        <v/>
      </c>
      <c r="AB124" s="21">
        <f t="shared" si="7"/>
        <v>0</v>
      </c>
      <c r="AC124" s="20"/>
      <c r="AD124" s="20"/>
      <c r="AE124" s="20"/>
      <c r="AF124" s="20"/>
      <c r="AG124" s="20"/>
      <c r="AH124" s="22"/>
      <c r="AI124" s="23"/>
      <c r="AJ124" s="22"/>
      <c r="AK124" s="24" t="str">
        <f>IF(B124="","",AI124*Paramètres!$B$4+AJ124)</f>
        <v/>
      </c>
      <c r="AL124" s="25"/>
      <c r="AM124" s="25"/>
      <c r="AN124" s="27"/>
    </row>
    <row r="125" spans="1:40" ht="15">
      <c r="A125" s="16" t="str">
        <f t="shared" si="4"/>
        <v/>
      </c>
      <c r="B125" s="17"/>
      <c r="C125" s="16" t="str">
        <f t="shared" si="5"/>
        <v/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9"/>
      <c r="R125" s="20"/>
      <c r="S125" s="20"/>
      <c r="T125" s="20"/>
      <c r="U125" s="20"/>
      <c r="V125" s="20"/>
      <c r="W125" s="20"/>
      <c r="X125" s="20"/>
      <c r="Y125" s="20"/>
      <c r="Z125" s="20"/>
      <c r="AA125" s="20" t="str">
        <f t="shared" si="6"/>
        <v/>
      </c>
      <c r="AB125" s="21">
        <f t="shared" si="7"/>
        <v>0</v>
      </c>
      <c r="AC125" s="20"/>
      <c r="AD125" s="20"/>
      <c r="AE125" s="20"/>
      <c r="AF125" s="20"/>
      <c r="AG125" s="20"/>
      <c r="AH125" s="22"/>
      <c r="AI125" s="23"/>
      <c r="AJ125" s="22"/>
      <c r="AK125" s="24" t="str">
        <f>IF(B125="","",AI125*Paramètres!$B$4+AJ125)</f>
        <v/>
      </c>
      <c r="AL125" s="25"/>
      <c r="AM125" s="25"/>
      <c r="AN125" s="27"/>
    </row>
    <row r="126" spans="1:40" ht="15">
      <c r="A126" s="16" t="str">
        <f t="shared" si="4"/>
        <v/>
      </c>
      <c r="B126" s="17"/>
      <c r="C126" s="16" t="str">
        <f t="shared" si="5"/>
        <v/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9"/>
      <c r="R126" s="20"/>
      <c r="S126" s="20"/>
      <c r="T126" s="20"/>
      <c r="U126" s="20"/>
      <c r="V126" s="20"/>
      <c r="W126" s="20"/>
      <c r="X126" s="20"/>
      <c r="Y126" s="20"/>
      <c r="Z126" s="20"/>
      <c r="AA126" s="20" t="str">
        <f t="shared" si="6"/>
        <v/>
      </c>
      <c r="AB126" s="21">
        <f t="shared" si="7"/>
        <v>0</v>
      </c>
      <c r="AC126" s="20"/>
      <c r="AD126" s="20"/>
      <c r="AE126" s="20"/>
      <c r="AF126" s="20"/>
      <c r="AG126" s="20"/>
      <c r="AH126" s="22"/>
      <c r="AI126" s="23"/>
      <c r="AJ126" s="22"/>
      <c r="AK126" s="24" t="str">
        <f>IF(B126="","",AI126*Paramètres!$B$4+AJ126)</f>
        <v/>
      </c>
      <c r="AL126" s="25"/>
      <c r="AM126" s="25"/>
      <c r="AN126" s="27"/>
    </row>
    <row r="127" spans="1:40" ht="15">
      <c r="A127" s="16" t="str">
        <f t="shared" si="4"/>
        <v/>
      </c>
      <c r="B127" s="17"/>
      <c r="C127" s="16" t="str">
        <f t="shared" si="5"/>
        <v/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/>
      <c r="R127" s="20"/>
      <c r="S127" s="20"/>
      <c r="T127" s="20"/>
      <c r="U127" s="20"/>
      <c r="V127" s="20"/>
      <c r="W127" s="20"/>
      <c r="X127" s="20"/>
      <c r="Y127" s="20"/>
      <c r="Z127" s="20"/>
      <c r="AA127" s="20" t="str">
        <f t="shared" si="6"/>
        <v/>
      </c>
      <c r="AB127" s="21">
        <f t="shared" si="7"/>
        <v>0</v>
      </c>
      <c r="AC127" s="20"/>
      <c r="AD127" s="20"/>
      <c r="AE127" s="20"/>
      <c r="AF127" s="20"/>
      <c r="AG127" s="20"/>
      <c r="AH127" s="22"/>
      <c r="AI127" s="23"/>
      <c r="AJ127" s="22"/>
      <c r="AK127" s="24" t="str">
        <f>IF(B127="","",AI127*Paramètres!$B$4+AJ127)</f>
        <v/>
      </c>
      <c r="AL127" s="25"/>
      <c r="AM127" s="25"/>
      <c r="AN127" s="27"/>
    </row>
    <row r="128" spans="1:40" ht="15">
      <c r="A128" s="16" t="str">
        <f t="shared" si="4"/>
        <v/>
      </c>
      <c r="B128" s="17"/>
      <c r="C128" s="16" t="str">
        <f t="shared" si="5"/>
        <v/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9"/>
      <c r="R128" s="20"/>
      <c r="S128" s="20"/>
      <c r="T128" s="20"/>
      <c r="U128" s="20"/>
      <c r="V128" s="20"/>
      <c r="W128" s="20"/>
      <c r="X128" s="20"/>
      <c r="Y128" s="20"/>
      <c r="Z128" s="20"/>
      <c r="AA128" s="20" t="str">
        <f t="shared" si="6"/>
        <v/>
      </c>
      <c r="AB128" s="21">
        <f t="shared" si="7"/>
        <v>0</v>
      </c>
      <c r="AC128" s="20"/>
      <c r="AD128" s="20"/>
      <c r="AE128" s="20"/>
      <c r="AF128" s="20"/>
      <c r="AG128" s="20"/>
      <c r="AH128" s="22"/>
      <c r="AI128" s="23"/>
      <c r="AJ128" s="22"/>
      <c r="AK128" s="24" t="str">
        <f>IF(B128="","",AI128*Paramètres!$B$4+AJ128)</f>
        <v/>
      </c>
      <c r="AL128" s="25"/>
      <c r="AM128" s="25"/>
      <c r="AN128" s="27"/>
    </row>
    <row r="129" spans="1:40" ht="15">
      <c r="A129" s="16" t="str">
        <f t="shared" si="4"/>
        <v/>
      </c>
      <c r="B129" s="17"/>
      <c r="C129" s="16" t="str">
        <f t="shared" si="5"/>
        <v/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9"/>
      <c r="R129" s="20"/>
      <c r="S129" s="20"/>
      <c r="T129" s="20"/>
      <c r="U129" s="20"/>
      <c r="V129" s="20"/>
      <c r="W129" s="20"/>
      <c r="X129" s="20"/>
      <c r="Y129" s="20"/>
      <c r="Z129" s="20"/>
      <c r="AA129" s="20" t="str">
        <f t="shared" si="6"/>
        <v/>
      </c>
      <c r="AB129" s="21">
        <f t="shared" si="7"/>
        <v>0</v>
      </c>
      <c r="AC129" s="20"/>
      <c r="AD129" s="20"/>
      <c r="AE129" s="20"/>
      <c r="AF129" s="20"/>
      <c r="AG129" s="20"/>
      <c r="AH129" s="22"/>
      <c r="AI129" s="23"/>
      <c r="AJ129" s="22"/>
      <c r="AK129" s="24" t="str">
        <f>IF(B129="","",AI129*Paramètres!$B$4+AJ129)</f>
        <v/>
      </c>
      <c r="AL129" s="25"/>
      <c r="AM129" s="25"/>
      <c r="AN129" s="27"/>
    </row>
    <row r="130" spans="1:40" ht="15">
      <c r="A130" s="16" t="str">
        <f t="shared" si="4"/>
        <v/>
      </c>
      <c r="B130" s="17"/>
      <c r="C130" s="16" t="str">
        <f t="shared" si="5"/>
        <v/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/>
      <c r="R130" s="20"/>
      <c r="S130" s="20"/>
      <c r="T130" s="20"/>
      <c r="U130" s="20"/>
      <c r="V130" s="20"/>
      <c r="W130" s="20"/>
      <c r="X130" s="20"/>
      <c r="Y130" s="20"/>
      <c r="Z130" s="20"/>
      <c r="AA130" s="20" t="str">
        <f t="shared" si="6"/>
        <v/>
      </c>
      <c r="AB130" s="21">
        <f t="shared" si="7"/>
        <v>0</v>
      </c>
      <c r="AC130" s="20"/>
      <c r="AD130" s="20"/>
      <c r="AE130" s="20"/>
      <c r="AF130" s="20"/>
      <c r="AG130" s="20"/>
      <c r="AH130" s="22"/>
      <c r="AI130" s="23"/>
      <c r="AJ130" s="22"/>
      <c r="AK130" s="24" t="str">
        <f>IF(B130="","",AI130*Paramètres!$B$4+AJ130)</f>
        <v/>
      </c>
      <c r="AL130" s="25"/>
      <c r="AM130" s="25"/>
      <c r="AN130" s="27"/>
    </row>
    <row r="131" spans="1:40" ht="15">
      <c r="A131" s="16" t="str">
        <f t="shared" si="4"/>
        <v/>
      </c>
      <c r="B131" s="17"/>
      <c r="C131" s="16" t="str">
        <f t="shared" si="5"/>
        <v/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9"/>
      <c r="R131" s="20"/>
      <c r="S131" s="20"/>
      <c r="T131" s="20"/>
      <c r="U131" s="20"/>
      <c r="V131" s="20"/>
      <c r="W131" s="20"/>
      <c r="X131" s="20"/>
      <c r="Y131" s="20"/>
      <c r="Z131" s="20"/>
      <c r="AA131" s="20" t="str">
        <f t="shared" si="6"/>
        <v/>
      </c>
      <c r="AB131" s="21">
        <f t="shared" si="7"/>
        <v>0</v>
      </c>
      <c r="AC131" s="20"/>
      <c r="AD131" s="20"/>
      <c r="AE131" s="20"/>
      <c r="AF131" s="20"/>
      <c r="AG131" s="20"/>
      <c r="AH131" s="22"/>
      <c r="AI131" s="23"/>
      <c r="AJ131" s="22"/>
      <c r="AK131" s="24" t="str">
        <f>IF(B131="","",AI131*Paramètres!$B$4+AJ131)</f>
        <v/>
      </c>
      <c r="AL131" s="25"/>
      <c r="AM131" s="25"/>
      <c r="AN131" s="27"/>
    </row>
    <row r="132" spans="1:40" ht="15">
      <c r="A132" s="16" t="str">
        <f t="shared" si="4"/>
        <v/>
      </c>
      <c r="B132" s="17"/>
      <c r="C132" s="16" t="str">
        <f t="shared" si="5"/>
        <v/>
      </c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9"/>
      <c r="R132" s="20"/>
      <c r="S132" s="20"/>
      <c r="T132" s="20"/>
      <c r="U132" s="20"/>
      <c r="V132" s="20"/>
      <c r="W132" s="20"/>
      <c r="X132" s="20"/>
      <c r="Y132" s="20"/>
      <c r="Z132" s="20"/>
      <c r="AA132" s="20" t="str">
        <f t="shared" si="6"/>
        <v/>
      </c>
      <c r="AB132" s="21">
        <f t="shared" si="7"/>
        <v>0</v>
      </c>
      <c r="AC132" s="20"/>
      <c r="AD132" s="20"/>
      <c r="AE132" s="20"/>
      <c r="AF132" s="20"/>
      <c r="AG132" s="20"/>
      <c r="AH132" s="22"/>
      <c r="AI132" s="23"/>
      <c r="AJ132" s="22"/>
      <c r="AK132" s="24" t="str">
        <f>IF(B132="","",AI132*Paramètres!$B$4+AJ132)</f>
        <v/>
      </c>
      <c r="AL132" s="25"/>
      <c r="AM132" s="25"/>
      <c r="AN132" s="27"/>
    </row>
    <row r="133" spans="1:40" ht="15">
      <c r="A133" s="16" t="str">
        <f t="shared" si="4"/>
        <v/>
      </c>
      <c r="B133" s="17"/>
      <c r="C133" s="16" t="str">
        <f t="shared" si="5"/>
        <v/>
      </c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9"/>
      <c r="R133" s="20"/>
      <c r="S133" s="20"/>
      <c r="T133" s="20"/>
      <c r="U133" s="20"/>
      <c r="V133" s="20"/>
      <c r="W133" s="20"/>
      <c r="X133" s="20"/>
      <c r="Y133" s="20"/>
      <c r="Z133" s="20"/>
      <c r="AA133" s="20" t="str">
        <f t="shared" si="6"/>
        <v/>
      </c>
      <c r="AB133" s="21">
        <f t="shared" si="7"/>
        <v>0</v>
      </c>
      <c r="AC133" s="20"/>
      <c r="AD133" s="20"/>
      <c r="AE133" s="20"/>
      <c r="AF133" s="20"/>
      <c r="AG133" s="20"/>
      <c r="AH133" s="22"/>
      <c r="AI133" s="23"/>
      <c r="AJ133" s="22"/>
      <c r="AK133" s="24" t="str">
        <f>IF(B133="","",AI133*Paramètres!$B$4+AJ133)</f>
        <v/>
      </c>
      <c r="AL133" s="25"/>
      <c r="AM133" s="25"/>
      <c r="AN133" s="27"/>
    </row>
    <row r="134" spans="1:40" ht="15">
      <c r="A134" s="16" t="str">
        <f t="shared" ref="A134:A197" si="8">IF(B134="","",ROW()-5)</f>
        <v/>
      </c>
      <c r="B134" s="17"/>
      <c r="C134" s="16" t="str">
        <f t="shared" ref="C134:C197" si="9">IF(B134="","",CHOOSE(MONTH(B134),"Janvier","Février","Mars","Avril","Mai","Juin","Juillet","Août","Septembre","Octobre","Novembre","Décembre"))</f>
        <v/>
      </c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9"/>
      <c r="R134" s="20"/>
      <c r="S134" s="20"/>
      <c r="T134" s="20"/>
      <c r="U134" s="20"/>
      <c r="V134" s="20"/>
      <c r="W134" s="20"/>
      <c r="X134" s="20"/>
      <c r="Y134" s="20"/>
      <c r="Z134" s="20"/>
      <c r="AA134" s="20" t="str">
        <f t="shared" ref="AA134:AA197" si="10">IF(B134="","",SUM(W134:Z134))</f>
        <v/>
      </c>
      <c r="AB134" s="21">
        <f t="shared" ref="AB134:AB197" si="11">IFERROR(AA134/T134,0)</f>
        <v>0</v>
      </c>
      <c r="AC134" s="20"/>
      <c r="AD134" s="20"/>
      <c r="AE134" s="20"/>
      <c r="AF134" s="20"/>
      <c r="AG134" s="20"/>
      <c r="AH134" s="22"/>
      <c r="AI134" s="23"/>
      <c r="AJ134" s="22"/>
      <c r="AK134" s="24" t="str">
        <f>IF(B134="","",AI134*Paramètres!$B$4+AJ134)</f>
        <v/>
      </c>
      <c r="AL134" s="25"/>
      <c r="AM134" s="25"/>
      <c r="AN134" s="27"/>
    </row>
    <row r="135" spans="1:40" ht="15">
      <c r="A135" s="16" t="str">
        <f t="shared" si="8"/>
        <v/>
      </c>
      <c r="B135" s="17"/>
      <c r="C135" s="16" t="str">
        <f t="shared" si="9"/>
        <v/>
      </c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9"/>
      <c r="R135" s="20"/>
      <c r="S135" s="20"/>
      <c r="T135" s="20"/>
      <c r="U135" s="20"/>
      <c r="V135" s="20"/>
      <c r="W135" s="20"/>
      <c r="X135" s="20"/>
      <c r="Y135" s="20"/>
      <c r="Z135" s="20"/>
      <c r="AA135" s="20" t="str">
        <f t="shared" si="10"/>
        <v/>
      </c>
      <c r="AB135" s="21">
        <f t="shared" si="11"/>
        <v>0</v>
      </c>
      <c r="AC135" s="20"/>
      <c r="AD135" s="20"/>
      <c r="AE135" s="20"/>
      <c r="AF135" s="20"/>
      <c r="AG135" s="20"/>
      <c r="AH135" s="22"/>
      <c r="AI135" s="23"/>
      <c r="AJ135" s="22"/>
      <c r="AK135" s="24" t="str">
        <f>IF(B135="","",AI135*Paramètres!$B$4+AJ135)</f>
        <v/>
      </c>
      <c r="AL135" s="25"/>
      <c r="AM135" s="25"/>
      <c r="AN135" s="27"/>
    </row>
    <row r="136" spans="1:40" ht="15">
      <c r="A136" s="16" t="str">
        <f t="shared" si="8"/>
        <v/>
      </c>
      <c r="B136" s="17"/>
      <c r="C136" s="16" t="str">
        <f t="shared" si="9"/>
        <v/>
      </c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9"/>
      <c r="R136" s="20"/>
      <c r="S136" s="20"/>
      <c r="T136" s="20"/>
      <c r="U136" s="20"/>
      <c r="V136" s="20"/>
      <c r="W136" s="20"/>
      <c r="X136" s="20"/>
      <c r="Y136" s="20"/>
      <c r="Z136" s="20"/>
      <c r="AA136" s="20" t="str">
        <f t="shared" si="10"/>
        <v/>
      </c>
      <c r="AB136" s="21">
        <f t="shared" si="11"/>
        <v>0</v>
      </c>
      <c r="AC136" s="20"/>
      <c r="AD136" s="20"/>
      <c r="AE136" s="20"/>
      <c r="AF136" s="20"/>
      <c r="AG136" s="20"/>
      <c r="AH136" s="22"/>
      <c r="AI136" s="23"/>
      <c r="AJ136" s="22"/>
      <c r="AK136" s="24" t="str">
        <f>IF(B136="","",AI136*Paramètres!$B$4+AJ136)</f>
        <v/>
      </c>
      <c r="AL136" s="25"/>
      <c r="AM136" s="25"/>
      <c r="AN136" s="27"/>
    </row>
    <row r="137" spans="1:40" ht="15">
      <c r="A137" s="16" t="str">
        <f t="shared" si="8"/>
        <v/>
      </c>
      <c r="B137" s="17"/>
      <c r="C137" s="16" t="str">
        <f t="shared" si="9"/>
        <v/>
      </c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9"/>
      <c r="R137" s="20"/>
      <c r="S137" s="20"/>
      <c r="T137" s="20"/>
      <c r="U137" s="20"/>
      <c r="V137" s="20"/>
      <c r="W137" s="20"/>
      <c r="X137" s="20"/>
      <c r="Y137" s="20"/>
      <c r="Z137" s="20"/>
      <c r="AA137" s="20" t="str">
        <f t="shared" si="10"/>
        <v/>
      </c>
      <c r="AB137" s="21">
        <f t="shared" si="11"/>
        <v>0</v>
      </c>
      <c r="AC137" s="20"/>
      <c r="AD137" s="20"/>
      <c r="AE137" s="20"/>
      <c r="AF137" s="20"/>
      <c r="AG137" s="20"/>
      <c r="AH137" s="22"/>
      <c r="AI137" s="23"/>
      <c r="AJ137" s="22"/>
      <c r="AK137" s="24" t="str">
        <f>IF(B137="","",AI137*Paramètres!$B$4+AJ137)</f>
        <v/>
      </c>
      <c r="AL137" s="25"/>
      <c r="AM137" s="25"/>
      <c r="AN137" s="27"/>
    </row>
    <row r="138" spans="1:40" ht="15">
      <c r="A138" s="16" t="str">
        <f t="shared" si="8"/>
        <v/>
      </c>
      <c r="B138" s="17"/>
      <c r="C138" s="16" t="str">
        <f t="shared" si="9"/>
        <v/>
      </c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9"/>
      <c r="R138" s="20"/>
      <c r="S138" s="20"/>
      <c r="T138" s="20"/>
      <c r="U138" s="20"/>
      <c r="V138" s="20"/>
      <c r="W138" s="20"/>
      <c r="X138" s="20"/>
      <c r="Y138" s="20"/>
      <c r="Z138" s="20"/>
      <c r="AA138" s="20" t="str">
        <f t="shared" si="10"/>
        <v/>
      </c>
      <c r="AB138" s="21">
        <f t="shared" si="11"/>
        <v>0</v>
      </c>
      <c r="AC138" s="20"/>
      <c r="AD138" s="20"/>
      <c r="AE138" s="20"/>
      <c r="AF138" s="20"/>
      <c r="AG138" s="20"/>
      <c r="AH138" s="22"/>
      <c r="AI138" s="23"/>
      <c r="AJ138" s="22"/>
      <c r="AK138" s="24" t="str">
        <f>IF(B138="","",AI138*Paramètres!$B$4+AJ138)</f>
        <v/>
      </c>
      <c r="AL138" s="25"/>
      <c r="AM138" s="25"/>
      <c r="AN138" s="27"/>
    </row>
    <row r="139" spans="1:40" ht="15">
      <c r="A139" s="16" t="str">
        <f t="shared" si="8"/>
        <v/>
      </c>
      <c r="B139" s="17"/>
      <c r="C139" s="16" t="str">
        <f t="shared" si="9"/>
        <v/>
      </c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9"/>
      <c r="R139" s="20"/>
      <c r="S139" s="20"/>
      <c r="T139" s="20"/>
      <c r="U139" s="20"/>
      <c r="V139" s="20"/>
      <c r="W139" s="20"/>
      <c r="X139" s="20"/>
      <c r="Y139" s="20"/>
      <c r="Z139" s="20"/>
      <c r="AA139" s="20" t="str">
        <f t="shared" si="10"/>
        <v/>
      </c>
      <c r="AB139" s="21">
        <f t="shared" si="11"/>
        <v>0</v>
      </c>
      <c r="AC139" s="20"/>
      <c r="AD139" s="20"/>
      <c r="AE139" s="20"/>
      <c r="AF139" s="20"/>
      <c r="AG139" s="20"/>
      <c r="AH139" s="22"/>
      <c r="AI139" s="23"/>
      <c r="AJ139" s="22"/>
      <c r="AK139" s="24" t="str">
        <f>IF(B139="","",AI139*Paramètres!$B$4+AJ139)</f>
        <v/>
      </c>
      <c r="AL139" s="25"/>
      <c r="AM139" s="25"/>
      <c r="AN139" s="27"/>
    </row>
    <row r="140" spans="1:40" ht="15">
      <c r="A140" s="16" t="str">
        <f t="shared" si="8"/>
        <v/>
      </c>
      <c r="B140" s="17"/>
      <c r="C140" s="16" t="str">
        <f t="shared" si="9"/>
        <v/>
      </c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9"/>
      <c r="R140" s="20"/>
      <c r="S140" s="20"/>
      <c r="T140" s="20"/>
      <c r="U140" s="20"/>
      <c r="V140" s="20"/>
      <c r="W140" s="20"/>
      <c r="X140" s="20"/>
      <c r="Y140" s="20"/>
      <c r="Z140" s="20"/>
      <c r="AA140" s="20" t="str">
        <f t="shared" si="10"/>
        <v/>
      </c>
      <c r="AB140" s="21">
        <f t="shared" si="11"/>
        <v>0</v>
      </c>
      <c r="AC140" s="20"/>
      <c r="AD140" s="20"/>
      <c r="AE140" s="20"/>
      <c r="AF140" s="20"/>
      <c r="AG140" s="20"/>
      <c r="AH140" s="22"/>
      <c r="AI140" s="23"/>
      <c r="AJ140" s="22"/>
      <c r="AK140" s="24" t="str">
        <f>IF(B140="","",AI140*Paramètres!$B$4+AJ140)</f>
        <v/>
      </c>
      <c r="AL140" s="25"/>
      <c r="AM140" s="25"/>
      <c r="AN140" s="27"/>
    </row>
    <row r="141" spans="1:40" ht="15">
      <c r="A141" s="16" t="str">
        <f t="shared" si="8"/>
        <v/>
      </c>
      <c r="B141" s="17"/>
      <c r="C141" s="16" t="str">
        <f t="shared" si="9"/>
        <v/>
      </c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9"/>
      <c r="R141" s="20"/>
      <c r="S141" s="20"/>
      <c r="T141" s="20"/>
      <c r="U141" s="20"/>
      <c r="V141" s="20"/>
      <c r="W141" s="20"/>
      <c r="X141" s="20"/>
      <c r="Y141" s="20"/>
      <c r="Z141" s="20"/>
      <c r="AA141" s="20" t="str">
        <f t="shared" si="10"/>
        <v/>
      </c>
      <c r="AB141" s="21">
        <f t="shared" si="11"/>
        <v>0</v>
      </c>
      <c r="AC141" s="20"/>
      <c r="AD141" s="20"/>
      <c r="AE141" s="20"/>
      <c r="AF141" s="20"/>
      <c r="AG141" s="20"/>
      <c r="AH141" s="22"/>
      <c r="AI141" s="23"/>
      <c r="AJ141" s="22"/>
      <c r="AK141" s="24" t="str">
        <f>IF(B141="","",AI141*Paramètres!$B$4+AJ141)</f>
        <v/>
      </c>
      <c r="AL141" s="25"/>
      <c r="AM141" s="25"/>
      <c r="AN141" s="27"/>
    </row>
    <row r="142" spans="1:40" ht="15">
      <c r="A142" s="16" t="str">
        <f t="shared" si="8"/>
        <v/>
      </c>
      <c r="B142" s="17"/>
      <c r="C142" s="16" t="str">
        <f t="shared" si="9"/>
        <v/>
      </c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9"/>
      <c r="R142" s="20"/>
      <c r="S142" s="20"/>
      <c r="T142" s="20"/>
      <c r="U142" s="20"/>
      <c r="V142" s="20"/>
      <c r="W142" s="20"/>
      <c r="X142" s="20"/>
      <c r="Y142" s="20"/>
      <c r="Z142" s="20"/>
      <c r="AA142" s="20" t="str">
        <f t="shared" si="10"/>
        <v/>
      </c>
      <c r="AB142" s="21">
        <f t="shared" si="11"/>
        <v>0</v>
      </c>
      <c r="AC142" s="20"/>
      <c r="AD142" s="20"/>
      <c r="AE142" s="20"/>
      <c r="AF142" s="20"/>
      <c r="AG142" s="20"/>
      <c r="AH142" s="22"/>
      <c r="AI142" s="23"/>
      <c r="AJ142" s="22"/>
      <c r="AK142" s="24" t="str">
        <f>IF(B142="","",AI142*Paramètres!$B$4+AJ142)</f>
        <v/>
      </c>
      <c r="AL142" s="25"/>
      <c r="AM142" s="25"/>
      <c r="AN142" s="27"/>
    </row>
    <row r="143" spans="1:40" ht="15">
      <c r="A143" s="16" t="str">
        <f t="shared" si="8"/>
        <v/>
      </c>
      <c r="B143" s="17"/>
      <c r="C143" s="16" t="str">
        <f t="shared" si="9"/>
        <v/>
      </c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9"/>
      <c r="R143" s="20"/>
      <c r="S143" s="20"/>
      <c r="T143" s="20"/>
      <c r="U143" s="20"/>
      <c r="V143" s="20"/>
      <c r="W143" s="20"/>
      <c r="X143" s="20"/>
      <c r="Y143" s="20"/>
      <c r="Z143" s="20"/>
      <c r="AA143" s="20" t="str">
        <f t="shared" si="10"/>
        <v/>
      </c>
      <c r="AB143" s="21">
        <f t="shared" si="11"/>
        <v>0</v>
      </c>
      <c r="AC143" s="20"/>
      <c r="AD143" s="20"/>
      <c r="AE143" s="20"/>
      <c r="AF143" s="20"/>
      <c r="AG143" s="20"/>
      <c r="AH143" s="22"/>
      <c r="AI143" s="23"/>
      <c r="AJ143" s="22"/>
      <c r="AK143" s="24" t="str">
        <f>IF(B143="","",AI143*Paramètres!$B$4+AJ143)</f>
        <v/>
      </c>
      <c r="AL143" s="25"/>
      <c r="AM143" s="25"/>
      <c r="AN143" s="27"/>
    </row>
    <row r="144" spans="1:40" ht="15">
      <c r="A144" s="16" t="str">
        <f t="shared" si="8"/>
        <v/>
      </c>
      <c r="B144" s="17"/>
      <c r="C144" s="16" t="str">
        <f t="shared" si="9"/>
        <v/>
      </c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9"/>
      <c r="R144" s="20"/>
      <c r="S144" s="20"/>
      <c r="T144" s="20"/>
      <c r="U144" s="20"/>
      <c r="V144" s="20"/>
      <c r="W144" s="20"/>
      <c r="X144" s="20"/>
      <c r="Y144" s="20"/>
      <c r="Z144" s="20"/>
      <c r="AA144" s="20" t="str">
        <f t="shared" si="10"/>
        <v/>
      </c>
      <c r="AB144" s="21">
        <f t="shared" si="11"/>
        <v>0</v>
      </c>
      <c r="AC144" s="20"/>
      <c r="AD144" s="20"/>
      <c r="AE144" s="20"/>
      <c r="AF144" s="20"/>
      <c r="AG144" s="20"/>
      <c r="AH144" s="22"/>
      <c r="AI144" s="23"/>
      <c r="AJ144" s="22"/>
      <c r="AK144" s="24" t="str">
        <f>IF(B144="","",AI144*Paramètres!$B$4+AJ144)</f>
        <v/>
      </c>
      <c r="AL144" s="25"/>
      <c r="AM144" s="25"/>
      <c r="AN144" s="27"/>
    </row>
    <row r="145" spans="1:40" ht="15">
      <c r="A145" s="16" t="str">
        <f t="shared" si="8"/>
        <v/>
      </c>
      <c r="B145" s="17"/>
      <c r="C145" s="16" t="str">
        <f t="shared" si="9"/>
        <v/>
      </c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9"/>
      <c r="R145" s="20"/>
      <c r="S145" s="20"/>
      <c r="T145" s="20"/>
      <c r="U145" s="20"/>
      <c r="V145" s="20"/>
      <c r="W145" s="20"/>
      <c r="X145" s="20"/>
      <c r="Y145" s="20"/>
      <c r="Z145" s="20"/>
      <c r="AA145" s="20" t="str">
        <f t="shared" si="10"/>
        <v/>
      </c>
      <c r="AB145" s="21">
        <f t="shared" si="11"/>
        <v>0</v>
      </c>
      <c r="AC145" s="20"/>
      <c r="AD145" s="20"/>
      <c r="AE145" s="20"/>
      <c r="AF145" s="20"/>
      <c r="AG145" s="20"/>
      <c r="AH145" s="22"/>
      <c r="AI145" s="23"/>
      <c r="AJ145" s="22"/>
      <c r="AK145" s="24" t="str">
        <f>IF(B145="","",AI145*Paramètres!$B$4+AJ145)</f>
        <v/>
      </c>
      <c r="AL145" s="25"/>
      <c r="AM145" s="25"/>
      <c r="AN145" s="27"/>
    </row>
    <row r="146" spans="1:40" ht="15">
      <c r="A146" s="16" t="str">
        <f t="shared" si="8"/>
        <v/>
      </c>
      <c r="B146" s="17"/>
      <c r="C146" s="16" t="str">
        <f t="shared" si="9"/>
        <v/>
      </c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9"/>
      <c r="R146" s="20"/>
      <c r="S146" s="20"/>
      <c r="T146" s="20"/>
      <c r="U146" s="20"/>
      <c r="V146" s="20"/>
      <c r="W146" s="20"/>
      <c r="X146" s="20"/>
      <c r="Y146" s="20"/>
      <c r="Z146" s="20"/>
      <c r="AA146" s="20" t="str">
        <f t="shared" si="10"/>
        <v/>
      </c>
      <c r="AB146" s="21">
        <f t="shared" si="11"/>
        <v>0</v>
      </c>
      <c r="AC146" s="20"/>
      <c r="AD146" s="20"/>
      <c r="AE146" s="20"/>
      <c r="AF146" s="20"/>
      <c r="AG146" s="20"/>
      <c r="AH146" s="22"/>
      <c r="AI146" s="23"/>
      <c r="AJ146" s="22"/>
      <c r="AK146" s="24" t="str">
        <f>IF(B146="","",AI146*Paramètres!$B$4+AJ146)</f>
        <v/>
      </c>
      <c r="AL146" s="25"/>
      <c r="AM146" s="25"/>
      <c r="AN146" s="27"/>
    </row>
    <row r="147" spans="1:40" ht="15">
      <c r="A147" s="16" t="str">
        <f t="shared" si="8"/>
        <v/>
      </c>
      <c r="B147" s="17"/>
      <c r="C147" s="16" t="str">
        <f t="shared" si="9"/>
        <v/>
      </c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9"/>
      <c r="R147" s="20"/>
      <c r="S147" s="20"/>
      <c r="T147" s="20"/>
      <c r="U147" s="20"/>
      <c r="V147" s="20"/>
      <c r="W147" s="20"/>
      <c r="X147" s="20"/>
      <c r="Y147" s="20"/>
      <c r="Z147" s="20"/>
      <c r="AA147" s="20" t="str">
        <f t="shared" si="10"/>
        <v/>
      </c>
      <c r="AB147" s="21">
        <f t="shared" si="11"/>
        <v>0</v>
      </c>
      <c r="AC147" s="20"/>
      <c r="AD147" s="20"/>
      <c r="AE147" s="20"/>
      <c r="AF147" s="20"/>
      <c r="AG147" s="20"/>
      <c r="AH147" s="22"/>
      <c r="AI147" s="23"/>
      <c r="AJ147" s="22"/>
      <c r="AK147" s="24" t="str">
        <f>IF(B147="","",AI147*Paramètres!$B$4+AJ147)</f>
        <v/>
      </c>
      <c r="AL147" s="25"/>
      <c r="AM147" s="25"/>
      <c r="AN147" s="27"/>
    </row>
    <row r="148" spans="1:40" ht="15">
      <c r="A148" s="16" t="str">
        <f t="shared" si="8"/>
        <v/>
      </c>
      <c r="B148" s="17"/>
      <c r="C148" s="16" t="str">
        <f t="shared" si="9"/>
        <v/>
      </c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9"/>
      <c r="R148" s="20"/>
      <c r="S148" s="20"/>
      <c r="T148" s="20"/>
      <c r="U148" s="20"/>
      <c r="V148" s="20"/>
      <c r="W148" s="20"/>
      <c r="X148" s="20"/>
      <c r="Y148" s="20"/>
      <c r="Z148" s="20"/>
      <c r="AA148" s="20" t="str">
        <f t="shared" si="10"/>
        <v/>
      </c>
      <c r="AB148" s="21">
        <f t="shared" si="11"/>
        <v>0</v>
      </c>
      <c r="AC148" s="20"/>
      <c r="AD148" s="20"/>
      <c r="AE148" s="20"/>
      <c r="AF148" s="20"/>
      <c r="AG148" s="20"/>
      <c r="AH148" s="22"/>
      <c r="AI148" s="23"/>
      <c r="AJ148" s="22"/>
      <c r="AK148" s="24" t="str">
        <f>IF(B148="","",AI148*Paramètres!$B$4+AJ148)</f>
        <v/>
      </c>
      <c r="AL148" s="25"/>
      <c r="AM148" s="25"/>
      <c r="AN148" s="27"/>
    </row>
    <row r="149" spans="1:40" ht="15">
      <c r="A149" s="16" t="str">
        <f t="shared" si="8"/>
        <v/>
      </c>
      <c r="B149" s="17"/>
      <c r="C149" s="16" t="str">
        <f t="shared" si="9"/>
        <v/>
      </c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9"/>
      <c r="R149" s="20"/>
      <c r="S149" s="20"/>
      <c r="T149" s="20"/>
      <c r="U149" s="20"/>
      <c r="V149" s="20"/>
      <c r="W149" s="20"/>
      <c r="X149" s="20"/>
      <c r="Y149" s="20"/>
      <c r="Z149" s="20"/>
      <c r="AA149" s="20" t="str">
        <f t="shared" si="10"/>
        <v/>
      </c>
      <c r="AB149" s="21">
        <f t="shared" si="11"/>
        <v>0</v>
      </c>
      <c r="AC149" s="20"/>
      <c r="AD149" s="20"/>
      <c r="AE149" s="20"/>
      <c r="AF149" s="20"/>
      <c r="AG149" s="20"/>
      <c r="AH149" s="22"/>
      <c r="AI149" s="23"/>
      <c r="AJ149" s="22"/>
      <c r="AK149" s="24" t="str">
        <f>IF(B149="","",AI149*Paramètres!$B$4+AJ149)</f>
        <v/>
      </c>
      <c r="AL149" s="25"/>
      <c r="AM149" s="25"/>
      <c r="AN149" s="27"/>
    </row>
    <row r="150" spans="1:40" ht="15">
      <c r="A150" s="16" t="str">
        <f t="shared" si="8"/>
        <v/>
      </c>
      <c r="B150" s="17"/>
      <c r="C150" s="16" t="str">
        <f t="shared" si="9"/>
        <v/>
      </c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9"/>
      <c r="R150" s="20"/>
      <c r="S150" s="20"/>
      <c r="T150" s="20"/>
      <c r="U150" s="20"/>
      <c r="V150" s="20"/>
      <c r="W150" s="20"/>
      <c r="X150" s="20"/>
      <c r="Y150" s="20"/>
      <c r="Z150" s="20"/>
      <c r="AA150" s="20" t="str">
        <f t="shared" si="10"/>
        <v/>
      </c>
      <c r="AB150" s="21">
        <f t="shared" si="11"/>
        <v>0</v>
      </c>
      <c r="AC150" s="20"/>
      <c r="AD150" s="20"/>
      <c r="AE150" s="20"/>
      <c r="AF150" s="20"/>
      <c r="AG150" s="20"/>
      <c r="AH150" s="22"/>
      <c r="AI150" s="23"/>
      <c r="AJ150" s="22"/>
      <c r="AK150" s="24" t="str">
        <f>IF(B150="","",AI150*Paramètres!$B$4+AJ150)</f>
        <v/>
      </c>
      <c r="AL150" s="25"/>
      <c r="AM150" s="25"/>
      <c r="AN150" s="27"/>
    </row>
    <row r="151" spans="1:40" ht="15">
      <c r="A151" s="16" t="str">
        <f t="shared" si="8"/>
        <v/>
      </c>
      <c r="B151" s="17"/>
      <c r="C151" s="16" t="str">
        <f t="shared" si="9"/>
        <v/>
      </c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9"/>
      <c r="R151" s="20"/>
      <c r="S151" s="20"/>
      <c r="T151" s="20"/>
      <c r="U151" s="20"/>
      <c r="V151" s="20"/>
      <c r="W151" s="20"/>
      <c r="X151" s="20"/>
      <c r="Y151" s="20"/>
      <c r="Z151" s="20"/>
      <c r="AA151" s="20" t="str">
        <f t="shared" si="10"/>
        <v/>
      </c>
      <c r="AB151" s="21">
        <f t="shared" si="11"/>
        <v>0</v>
      </c>
      <c r="AC151" s="20"/>
      <c r="AD151" s="20"/>
      <c r="AE151" s="20"/>
      <c r="AF151" s="20"/>
      <c r="AG151" s="20"/>
      <c r="AH151" s="22"/>
      <c r="AI151" s="23"/>
      <c r="AJ151" s="22"/>
      <c r="AK151" s="24" t="str">
        <f>IF(B151="","",AI151*Paramètres!$B$4+AJ151)</f>
        <v/>
      </c>
      <c r="AL151" s="25"/>
      <c r="AM151" s="25"/>
      <c r="AN151" s="27"/>
    </row>
    <row r="152" spans="1:40" ht="15">
      <c r="A152" s="16" t="str">
        <f t="shared" si="8"/>
        <v/>
      </c>
      <c r="B152" s="17"/>
      <c r="C152" s="16" t="str">
        <f t="shared" si="9"/>
        <v/>
      </c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9"/>
      <c r="R152" s="20"/>
      <c r="S152" s="20"/>
      <c r="T152" s="20"/>
      <c r="U152" s="20"/>
      <c r="V152" s="20"/>
      <c r="W152" s="20"/>
      <c r="X152" s="20"/>
      <c r="Y152" s="20"/>
      <c r="Z152" s="20"/>
      <c r="AA152" s="20" t="str">
        <f t="shared" si="10"/>
        <v/>
      </c>
      <c r="AB152" s="21">
        <f t="shared" si="11"/>
        <v>0</v>
      </c>
      <c r="AC152" s="20"/>
      <c r="AD152" s="20"/>
      <c r="AE152" s="20"/>
      <c r="AF152" s="20"/>
      <c r="AG152" s="20"/>
      <c r="AH152" s="22"/>
      <c r="AI152" s="23"/>
      <c r="AJ152" s="22"/>
      <c r="AK152" s="24" t="str">
        <f>IF(B152="","",AI152*Paramètres!$B$4+AJ152)</f>
        <v/>
      </c>
      <c r="AL152" s="25"/>
      <c r="AM152" s="25"/>
      <c r="AN152" s="27"/>
    </row>
    <row r="153" spans="1:40" ht="15">
      <c r="A153" s="16" t="str">
        <f t="shared" si="8"/>
        <v/>
      </c>
      <c r="B153" s="17"/>
      <c r="C153" s="16" t="str">
        <f t="shared" si="9"/>
        <v/>
      </c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9"/>
      <c r="R153" s="20"/>
      <c r="S153" s="20"/>
      <c r="T153" s="20"/>
      <c r="U153" s="20"/>
      <c r="V153" s="20"/>
      <c r="W153" s="20"/>
      <c r="X153" s="20"/>
      <c r="Y153" s="20"/>
      <c r="Z153" s="20"/>
      <c r="AA153" s="20" t="str">
        <f t="shared" si="10"/>
        <v/>
      </c>
      <c r="AB153" s="21">
        <f t="shared" si="11"/>
        <v>0</v>
      </c>
      <c r="AC153" s="20"/>
      <c r="AD153" s="20"/>
      <c r="AE153" s="20"/>
      <c r="AF153" s="20"/>
      <c r="AG153" s="20"/>
      <c r="AH153" s="22"/>
      <c r="AI153" s="23"/>
      <c r="AJ153" s="22"/>
      <c r="AK153" s="24" t="str">
        <f>IF(B153="","",AI153*Paramètres!$B$4+AJ153)</f>
        <v/>
      </c>
      <c r="AL153" s="25"/>
      <c r="AM153" s="25"/>
      <c r="AN153" s="27"/>
    </row>
    <row r="154" spans="1:40" ht="15">
      <c r="A154" s="16" t="str">
        <f t="shared" si="8"/>
        <v/>
      </c>
      <c r="B154" s="17"/>
      <c r="C154" s="16" t="str">
        <f t="shared" si="9"/>
        <v/>
      </c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9"/>
      <c r="R154" s="20"/>
      <c r="S154" s="20"/>
      <c r="T154" s="20"/>
      <c r="U154" s="20"/>
      <c r="V154" s="20"/>
      <c r="W154" s="20"/>
      <c r="X154" s="20"/>
      <c r="Y154" s="20"/>
      <c r="Z154" s="20"/>
      <c r="AA154" s="20" t="str">
        <f t="shared" si="10"/>
        <v/>
      </c>
      <c r="AB154" s="21">
        <f t="shared" si="11"/>
        <v>0</v>
      </c>
      <c r="AC154" s="20"/>
      <c r="AD154" s="20"/>
      <c r="AE154" s="20"/>
      <c r="AF154" s="20"/>
      <c r="AG154" s="20"/>
      <c r="AH154" s="22"/>
      <c r="AI154" s="23"/>
      <c r="AJ154" s="22"/>
      <c r="AK154" s="24" t="str">
        <f>IF(B154="","",AI154*Paramètres!$B$4+AJ154)</f>
        <v/>
      </c>
      <c r="AL154" s="25"/>
      <c r="AM154" s="25"/>
      <c r="AN154" s="27"/>
    </row>
    <row r="155" spans="1:40" ht="15">
      <c r="A155" s="16" t="str">
        <f t="shared" si="8"/>
        <v/>
      </c>
      <c r="B155" s="17"/>
      <c r="C155" s="16" t="str">
        <f t="shared" si="9"/>
        <v/>
      </c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9"/>
      <c r="R155" s="20"/>
      <c r="S155" s="20"/>
      <c r="T155" s="20"/>
      <c r="U155" s="20"/>
      <c r="V155" s="20"/>
      <c r="W155" s="20"/>
      <c r="X155" s="20"/>
      <c r="Y155" s="20"/>
      <c r="Z155" s="20"/>
      <c r="AA155" s="20" t="str">
        <f t="shared" si="10"/>
        <v/>
      </c>
      <c r="AB155" s="21">
        <f t="shared" si="11"/>
        <v>0</v>
      </c>
      <c r="AC155" s="20"/>
      <c r="AD155" s="20"/>
      <c r="AE155" s="20"/>
      <c r="AF155" s="20"/>
      <c r="AG155" s="20"/>
      <c r="AH155" s="22"/>
      <c r="AI155" s="23"/>
      <c r="AJ155" s="22"/>
      <c r="AK155" s="24" t="str">
        <f>IF(B155="","",AI155*Paramètres!$B$4+AJ155)</f>
        <v/>
      </c>
      <c r="AL155" s="25"/>
      <c r="AM155" s="25"/>
      <c r="AN155" s="27"/>
    </row>
    <row r="156" spans="1:40" ht="15">
      <c r="A156" s="16" t="str">
        <f t="shared" si="8"/>
        <v/>
      </c>
      <c r="B156" s="17"/>
      <c r="C156" s="16" t="str">
        <f t="shared" si="9"/>
        <v/>
      </c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9"/>
      <c r="R156" s="20"/>
      <c r="S156" s="20"/>
      <c r="T156" s="20"/>
      <c r="U156" s="20"/>
      <c r="V156" s="20"/>
      <c r="W156" s="20"/>
      <c r="X156" s="20"/>
      <c r="Y156" s="20"/>
      <c r="Z156" s="20"/>
      <c r="AA156" s="20" t="str">
        <f t="shared" si="10"/>
        <v/>
      </c>
      <c r="AB156" s="21">
        <f t="shared" si="11"/>
        <v>0</v>
      </c>
      <c r="AC156" s="20"/>
      <c r="AD156" s="20"/>
      <c r="AE156" s="20"/>
      <c r="AF156" s="20"/>
      <c r="AG156" s="20"/>
      <c r="AH156" s="22"/>
      <c r="AI156" s="23"/>
      <c r="AJ156" s="22"/>
      <c r="AK156" s="24" t="str">
        <f>IF(B156="","",AI156*Paramètres!$B$4+AJ156)</f>
        <v/>
      </c>
      <c r="AL156" s="25"/>
      <c r="AM156" s="25"/>
      <c r="AN156" s="27"/>
    </row>
    <row r="157" spans="1:40" ht="15">
      <c r="A157" s="16" t="str">
        <f t="shared" si="8"/>
        <v/>
      </c>
      <c r="B157" s="17"/>
      <c r="C157" s="16" t="str">
        <f t="shared" si="9"/>
        <v/>
      </c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9"/>
      <c r="R157" s="20"/>
      <c r="S157" s="20"/>
      <c r="T157" s="20"/>
      <c r="U157" s="20"/>
      <c r="V157" s="20"/>
      <c r="W157" s="20"/>
      <c r="X157" s="20"/>
      <c r="Y157" s="20"/>
      <c r="Z157" s="20"/>
      <c r="AA157" s="20" t="str">
        <f t="shared" si="10"/>
        <v/>
      </c>
      <c r="AB157" s="21">
        <f t="shared" si="11"/>
        <v>0</v>
      </c>
      <c r="AC157" s="20"/>
      <c r="AD157" s="20"/>
      <c r="AE157" s="20"/>
      <c r="AF157" s="20"/>
      <c r="AG157" s="20"/>
      <c r="AH157" s="22"/>
      <c r="AI157" s="23"/>
      <c r="AJ157" s="22"/>
      <c r="AK157" s="24" t="str">
        <f>IF(B157="","",AI157*Paramètres!$B$4+AJ157)</f>
        <v/>
      </c>
      <c r="AL157" s="25"/>
      <c r="AM157" s="25"/>
      <c r="AN157" s="27"/>
    </row>
    <row r="158" spans="1:40" ht="15">
      <c r="A158" s="16" t="str">
        <f t="shared" si="8"/>
        <v/>
      </c>
      <c r="B158" s="17"/>
      <c r="C158" s="16" t="str">
        <f t="shared" si="9"/>
        <v/>
      </c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9"/>
      <c r="R158" s="20"/>
      <c r="S158" s="20"/>
      <c r="T158" s="20"/>
      <c r="U158" s="20"/>
      <c r="V158" s="20"/>
      <c r="W158" s="20"/>
      <c r="X158" s="20"/>
      <c r="Y158" s="20"/>
      <c r="Z158" s="20"/>
      <c r="AA158" s="20" t="str">
        <f t="shared" si="10"/>
        <v/>
      </c>
      <c r="AB158" s="21">
        <f t="shared" si="11"/>
        <v>0</v>
      </c>
      <c r="AC158" s="20"/>
      <c r="AD158" s="20"/>
      <c r="AE158" s="20"/>
      <c r="AF158" s="20"/>
      <c r="AG158" s="20"/>
      <c r="AH158" s="22"/>
      <c r="AI158" s="23"/>
      <c r="AJ158" s="22"/>
      <c r="AK158" s="24" t="str">
        <f>IF(B158="","",AI158*Paramètres!$B$4+AJ158)</f>
        <v/>
      </c>
      <c r="AL158" s="25"/>
      <c r="AM158" s="25"/>
      <c r="AN158" s="27"/>
    </row>
    <row r="159" spans="1:40" ht="15">
      <c r="A159" s="16" t="str">
        <f t="shared" si="8"/>
        <v/>
      </c>
      <c r="B159" s="17"/>
      <c r="C159" s="16" t="str">
        <f t="shared" si="9"/>
        <v/>
      </c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9"/>
      <c r="R159" s="20"/>
      <c r="S159" s="20"/>
      <c r="T159" s="20"/>
      <c r="U159" s="20"/>
      <c r="V159" s="20"/>
      <c r="W159" s="20"/>
      <c r="X159" s="20"/>
      <c r="Y159" s="20"/>
      <c r="Z159" s="20"/>
      <c r="AA159" s="20" t="str">
        <f t="shared" si="10"/>
        <v/>
      </c>
      <c r="AB159" s="21">
        <f t="shared" si="11"/>
        <v>0</v>
      </c>
      <c r="AC159" s="20"/>
      <c r="AD159" s="20"/>
      <c r="AE159" s="20"/>
      <c r="AF159" s="20"/>
      <c r="AG159" s="20"/>
      <c r="AH159" s="22"/>
      <c r="AI159" s="23"/>
      <c r="AJ159" s="22"/>
      <c r="AK159" s="24" t="str">
        <f>IF(B159="","",AI159*Paramètres!$B$4+AJ159)</f>
        <v/>
      </c>
      <c r="AL159" s="25"/>
      <c r="AM159" s="25"/>
      <c r="AN159" s="27"/>
    </row>
    <row r="160" spans="1:40" ht="15">
      <c r="A160" s="16" t="str">
        <f t="shared" si="8"/>
        <v/>
      </c>
      <c r="B160" s="17"/>
      <c r="C160" s="16" t="str">
        <f t="shared" si="9"/>
        <v/>
      </c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9"/>
      <c r="R160" s="20"/>
      <c r="S160" s="20"/>
      <c r="T160" s="20"/>
      <c r="U160" s="20"/>
      <c r="V160" s="20"/>
      <c r="W160" s="20"/>
      <c r="X160" s="20"/>
      <c r="Y160" s="20"/>
      <c r="Z160" s="20"/>
      <c r="AA160" s="20" t="str">
        <f t="shared" si="10"/>
        <v/>
      </c>
      <c r="AB160" s="21">
        <f t="shared" si="11"/>
        <v>0</v>
      </c>
      <c r="AC160" s="20"/>
      <c r="AD160" s="20"/>
      <c r="AE160" s="20"/>
      <c r="AF160" s="20"/>
      <c r="AG160" s="20"/>
      <c r="AH160" s="22"/>
      <c r="AI160" s="23"/>
      <c r="AJ160" s="22"/>
      <c r="AK160" s="24" t="str">
        <f>IF(B160="","",AI160*Paramètres!$B$4+AJ160)</f>
        <v/>
      </c>
      <c r="AL160" s="25"/>
      <c r="AM160" s="25"/>
      <c r="AN160" s="27"/>
    </row>
    <row r="161" spans="1:40" ht="15">
      <c r="A161" s="16" t="str">
        <f t="shared" si="8"/>
        <v/>
      </c>
      <c r="B161" s="17"/>
      <c r="C161" s="16" t="str">
        <f t="shared" si="9"/>
        <v/>
      </c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9"/>
      <c r="R161" s="20"/>
      <c r="S161" s="20"/>
      <c r="T161" s="20"/>
      <c r="U161" s="20"/>
      <c r="V161" s="20"/>
      <c r="W161" s="20"/>
      <c r="X161" s="20"/>
      <c r="Y161" s="20"/>
      <c r="Z161" s="20"/>
      <c r="AA161" s="20" t="str">
        <f t="shared" si="10"/>
        <v/>
      </c>
      <c r="AB161" s="21">
        <f t="shared" si="11"/>
        <v>0</v>
      </c>
      <c r="AC161" s="20"/>
      <c r="AD161" s="20"/>
      <c r="AE161" s="20"/>
      <c r="AF161" s="20"/>
      <c r="AG161" s="20"/>
      <c r="AH161" s="22"/>
      <c r="AI161" s="23"/>
      <c r="AJ161" s="22"/>
      <c r="AK161" s="24" t="str">
        <f>IF(B161="","",AI161*Paramètres!$B$4+AJ161)</f>
        <v/>
      </c>
      <c r="AL161" s="25"/>
      <c r="AM161" s="25"/>
      <c r="AN161" s="27"/>
    </row>
    <row r="162" spans="1:40" ht="15">
      <c r="A162" s="16" t="str">
        <f t="shared" si="8"/>
        <v/>
      </c>
      <c r="B162" s="17"/>
      <c r="C162" s="16" t="str">
        <f t="shared" si="9"/>
        <v/>
      </c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9"/>
      <c r="R162" s="20"/>
      <c r="S162" s="20"/>
      <c r="T162" s="20"/>
      <c r="U162" s="20"/>
      <c r="V162" s="20"/>
      <c r="W162" s="20"/>
      <c r="X162" s="20"/>
      <c r="Y162" s="20"/>
      <c r="Z162" s="20"/>
      <c r="AA162" s="20" t="str">
        <f t="shared" si="10"/>
        <v/>
      </c>
      <c r="AB162" s="21">
        <f t="shared" si="11"/>
        <v>0</v>
      </c>
      <c r="AC162" s="20"/>
      <c r="AD162" s="20"/>
      <c r="AE162" s="20"/>
      <c r="AF162" s="20"/>
      <c r="AG162" s="20"/>
      <c r="AH162" s="22"/>
      <c r="AI162" s="23"/>
      <c r="AJ162" s="22"/>
      <c r="AK162" s="24" t="str">
        <f>IF(B162="","",AI162*Paramètres!$B$4+AJ162)</f>
        <v/>
      </c>
      <c r="AL162" s="25"/>
      <c r="AM162" s="25"/>
      <c r="AN162" s="27"/>
    </row>
    <row r="163" spans="1:40" ht="15">
      <c r="A163" s="16" t="str">
        <f t="shared" si="8"/>
        <v/>
      </c>
      <c r="B163" s="17"/>
      <c r="C163" s="16" t="str">
        <f t="shared" si="9"/>
        <v/>
      </c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9"/>
      <c r="R163" s="20"/>
      <c r="S163" s="20"/>
      <c r="T163" s="20"/>
      <c r="U163" s="20"/>
      <c r="V163" s="20"/>
      <c r="W163" s="20"/>
      <c r="X163" s="20"/>
      <c r="Y163" s="20"/>
      <c r="Z163" s="20"/>
      <c r="AA163" s="20" t="str">
        <f t="shared" si="10"/>
        <v/>
      </c>
      <c r="AB163" s="21">
        <f t="shared" si="11"/>
        <v>0</v>
      </c>
      <c r="AC163" s="20"/>
      <c r="AD163" s="20"/>
      <c r="AE163" s="20"/>
      <c r="AF163" s="20"/>
      <c r="AG163" s="20"/>
      <c r="AH163" s="22"/>
      <c r="AI163" s="23"/>
      <c r="AJ163" s="22"/>
      <c r="AK163" s="24" t="str">
        <f>IF(B163="","",AI163*Paramètres!$B$4+AJ163)</f>
        <v/>
      </c>
      <c r="AL163" s="25"/>
      <c r="AM163" s="25"/>
      <c r="AN163" s="27"/>
    </row>
    <row r="164" spans="1:40" ht="15">
      <c r="A164" s="16" t="str">
        <f t="shared" si="8"/>
        <v/>
      </c>
      <c r="B164" s="17"/>
      <c r="C164" s="16" t="str">
        <f t="shared" si="9"/>
        <v/>
      </c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9"/>
      <c r="R164" s="20"/>
      <c r="S164" s="20"/>
      <c r="T164" s="20"/>
      <c r="U164" s="20"/>
      <c r="V164" s="20"/>
      <c r="W164" s="20"/>
      <c r="X164" s="20"/>
      <c r="Y164" s="20"/>
      <c r="Z164" s="20"/>
      <c r="AA164" s="20" t="str">
        <f t="shared" si="10"/>
        <v/>
      </c>
      <c r="AB164" s="21">
        <f t="shared" si="11"/>
        <v>0</v>
      </c>
      <c r="AC164" s="20"/>
      <c r="AD164" s="20"/>
      <c r="AE164" s="20"/>
      <c r="AF164" s="20"/>
      <c r="AG164" s="20"/>
      <c r="AH164" s="22"/>
      <c r="AI164" s="23"/>
      <c r="AJ164" s="22"/>
      <c r="AK164" s="24" t="str">
        <f>IF(B164="","",AI164*Paramètres!$B$4+AJ164)</f>
        <v/>
      </c>
      <c r="AL164" s="25"/>
      <c r="AM164" s="25"/>
      <c r="AN164" s="27"/>
    </row>
    <row r="165" spans="1:40" ht="15">
      <c r="A165" s="16" t="str">
        <f t="shared" si="8"/>
        <v/>
      </c>
      <c r="B165" s="17"/>
      <c r="C165" s="16" t="str">
        <f t="shared" si="9"/>
        <v/>
      </c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9"/>
      <c r="R165" s="20"/>
      <c r="S165" s="20"/>
      <c r="T165" s="20"/>
      <c r="U165" s="20"/>
      <c r="V165" s="20"/>
      <c r="W165" s="20"/>
      <c r="X165" s="20"/>
      <c r="Y165" s="20"/>
      <c r="Z165" s="20"/>
      <c r="AA165" s="20" t="str">
        <f t="shared" si="10"/>
        <v/>
      </c>
      <c r="AB165" s="21">
        <f t="shared" si="11"/>
        <v>0</v>
      </c>
      <c r="AC165" s="20"/>
      <c r="AD165" s="20"/>
      <c r="AE165" s="20"/>
      <c r="AF165" s="20"/>
      <c r="AG165" s="20"/>
      <c r="AH165" s="22"/>
      <c r="AI165" s="23"/>
      <c r="AJ165" s="22"/>
      <c r="AK165" s="24" t="str">
        <f>IF(B165="","",AI165*Paramètres!$B$4+AJ165)</f>
        <v/>
      </c>
      <c r="AL165" s="25"/>
      <c r="AM165" s="25"/>
      <c r="AN165" s="27"/>
    </row>
    <row r="166" spans="1:40" ht="15">
      <c r="A166" s="16" t="str">
        <f t="shared" si="8"/>
        <v/>
      </c>
      <c r="B166" s="17"/>
      <c r="C166" s="16" t="str">
        <f t="shared" si="9"/>
        <v/>
      </c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9"/>
      <c r="R166" s="20"/>
      <c r="S166" s="20"/>
      <c r="T166" s="20"/>
      <c r="U166" s="20"/>
      <c r="V166" s="20"/>
      <c r="W166" s="20"/>
      <c r="X166" s="20"/>
      <c r="Y166" s="20"/>
      <c r="Z166" s="20"/>
      <c r="AA166" s="20" t="str">
        <f t="shared" si="10"/>
        <v/>
      </c>
      <c r="AB166" s="21">
        <f t="shared" si="11"/>
        <v>0</v>
      </c>
      <c r="AC166" s="20"/>
      <c r="AD166" s="20"/>
      <c r="AE166" s="20"/>
      <c r="AF166" s="20"/>
      <c r="AG166" s="20"/>
      <c r="AH166" s="22"/>
      <c r="AI166" s="23"/>
      <c r="AJ166" s="22"/>
      <c r="AK166" s="24" t="str">
        <f>IF(B166="","",AI166*Paramètres!$B$4+AJ166)</f>
        <v/>
      </c>
      <c r="AL166" s="25"/>
      <c r="AM166" s="25"/>
      <c r="AN166" s="27"/>
    </row>
    <row r="167" spans="1:40" ht="15">
      <c r="A167" s="16" t="str">
        <f t="shared" si="8"/>
        <v/>
      </c>
      <c r="B167" s="17"/>
      <c r="C167" s="16" t="str">
        <f t="shared" si="9"/>
        <v/>
      </c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9"/>
      <c r="R167" s="20"/>
      <c r="S167" s="20"/>
      <c r="T167" s="20"/>
      <c r="U167" s="20"/>
      <c r="V167" s="20"/>
      <c r="W167" s="20"/>
      <c r="X167" s="20"/>
      <c r="Y167" s="20"/>
      <c r="Z167" s="20"/>
      <c r="AA167" s="20" t="str">
        <f t="shared" si="10"/>
        <v/>
      </c>
      <c r="AB167" s="21">
        <f t="shared" si="11"/>
        <v>0</v>
      </c>
      <c r="AC167" s="20"/>
      <c r="AD167" s="20"/>
      <c r="AE167" s="20"/>
      <c r="AF167" s="20"/>
      <c r="AG167" s="20"/>
      <c r="AH167" s="22"/>
      <c r="AI167" s="23"/>
      <c r="AJ167" s="22"/>
      <c r="AK167" s="24" t="str">
        <f>IF(B167="","",AI167*Paramètres!$B$4+AJ167)</f>
        <v/>
      </c>
      <c r="AL167" s="25"/>
      <c r="AM167" s="25"/>
      <c r="AN167" s="27"/>
    </row>
    <row r="168" spans="1:40" ht="15">
      <c r="A168" s="16" t="str">
        <f t="shared" si="8"/>
        <v/>
      </c>
      <c r="B168" s="17"/>
      <c r="C168" s="16" t="str">
        <f t="shared" si="9"/>
        <v/>
      </c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9"/>
      <c r="R168" s="20"/>
      <c r="S168" s="20"/>
      <c r="T168" s="20"/>
      <c r="U168" s="20"/>
      <c r="V168" s="20"/>
      <c r="W168" s="20"/>
      <c r="X168" s="20"/>
      <c r="Y168" s="20"/>
      <c r="Z168" s="20"/>
      <c r="AA168" s="20" t="str">
        <f t="shared" si="10"/>
        <v/>
      </c>
      <c r="AB168" s="21">
        <f t="shared" si="11"/>
        <v>0</v>
      </c>
      <c r="AC168" s="20"/>
      <c r="AD168" s="20"/>
      <c r="AE168" s="20"/>
      <c r="AF168" s="20"/>
      <c r="AG168" s="20"/>
      <c r="AH168" s="22"/>
      <c r="AI168" s="23"/>
      <c r="AJ168" s="22"/>
      <c r="AK168" s="24" t="str">
        <f>IF(B168="","",AI168*Paramètres!$B$4+AJ168)</f>
        <v/>
      </c>
      <c r="AL168" s="25"/>
      <c r="AM168" s="25"/>
      <c r="AN168" s="27"/>
    </row>
    <row r="169" spans="1:40" ht="15">
      <c r="A169" s="16" t="str">
        <f t="shared" si="8"/>
        <v/>
      </c>
      <c r="B169" s="17"/>
      <c r="C169" s="16" t="str">
        <f t="shared" si="9"/>
        <v/>
      </c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9"/>
      <c r="R169" s="20"/>
      <c r="S169" s="20"/>
      <c r="T169" s="20"/>
      <c r="U169" s="20"/>
      <c r="V169" s="20"/>
      <c r="W169" s="20"/>
      <c r="X169" s="20"/>
      <c r="Y169" s="20"/>
      <c r="Z169" s="20"/>
      <c r="AA169" s="20" t="str">
        <f t="shared" si="10"/>
        <v/>
      </c>
      <c r="AB169" s="21">
        <f t="shared" si="11"/>
        <v>0</v>
      </c>
      <c r="AC169" s="20"/>
      <c r="AD169" s="20"/>
      <c r="AE169" s="20"/>
      <c r="AF169" s="20"/>
      <c r="AG169" s="20"/>
      <c r="AH169" s="22"/>
      <c r="AI169" s="23"/>
      <c r="AJ169" s="22"/>
      <c r="AK169" s="24" t="str">
        <f>IF(B169="","",AI169*Paramètres!$B$4+AJ169)</f>
        <v/>
      </c>
      <c r="AL169" s="25"/>
      <c r="AM169" s="25"/>
      <c r="AN169" s="27"/>
    </row>
    <row r="170" spans="1:40" ht="15">
      <c r="A170" s="16" t="str">
        <f t="shared" si="8"/>
        <v/>
      </c>
      <c r="B170" s="17"/>
      <c r="C170" s="16" t="str">
        <f t="shared" si="9"/>
        <v/>
      </c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9"/>
      <c r="R170" s="20"/>
      <c r="S170" s="20"/>
      <c r="T170" s="20"/>
      <c r="U170" s="20"/>
      <c r="V170" s="20"/>
      <c r="W170" s="20"/>
      <c r="X170" s="20"/>
      <c r="Y170" s="20"/>
      <c r="Z170" s="20"/>
      <c r="AA170" s="20" t="str">
        <f t="shared" si="10"/>
        <v/>
      </c>
      <c r="AB170" s="21">
        <f t="shared" si="11"/>
        <v>0</v>
      </c>
      <c r="AC170" s="20"/>
      <c r="AD170" s="20"/>
      <c r="AE170" s="20"/>
      <c r="AF170" s="20"/>
      <c r="AG170" s="20"/>
      <c r="AH170" s="22"/>
      <c r="AI170" s="23"/>
      <c r="AJ170" s="22"/>
      <c r="AK170" s="24" t="str">
        <f>IF(B170="","",AI170*Paramètres!$B$4+AJ170)</f>
        <v/>
      </c>
      <c r="AL170" s="25"/>
      <c r="AM170" s="25"/>
      <c r="AN170" s="27"/>
    </row>
    <row r="171" spans="1:40" ht="15">
      <c r="A171" s="16" t="str">
        <f t="shared" si="8"/>
        <v/>
      </c>
      <c r="B171" s="17"/>
      <c r="C171" s="16" t="str">
        <f t="shared" si="9"/>
        <v/>
      </c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9"/>
      <c r="R171" s="20"/>
      <c r="S171" s="20"/>
      <c r="T171" s="20"/>
      <c r="U171" s="20"/>
      <c r="V171" s="20"/>
      <c r="W171" s="20"/>
      <c r="X171" s="20"/>
      <c r="Y171" s="20"/>
      <c r="Z171" s="20"/>
      <c r="AA171" s="20" t="str">
        <f t="shared" si="10"/>
        <v/>
      </c>
      <c r="AB171" s="21">
        <f t="shared" si="11"/>
        <v>0</v>
      </c>
      <c r="AC171" s="20"/>
      <c r="AD171" s="20"/>
      <c r="AE171" s="20"/>
      <c r="AF171" s="20"/>
      <c r="AG171" s="20"/>
      <c r="AH171" s="22"/>
      <c r="AI171" s="23"/>
      <c r="AJ171" s="22"/>
      <c r="AK171" s="24" t="str">
        <f>IF(B171="","",AI171*Paramètres!$B$4+AJ171)</f>
        <v/>
      </c>
      <c r="AL171" s="25"/>
      <c r="AM171" s="25"/>
      <c r="AN171" s="27"/>
    </row>
    <row r="172" spans="1:40" ht="15">
      <c r="A172" s="16" t="str">
        <f t="shared" si="8"/>
        <v/>
      </c>
      <c r="B172" s="17"/>
      <c r="C172" s="16" t="str">
        <f t="shared" si="9"/>
        <v/>
      </c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9"/>
      <c r="R172" s="20"/>
      <c r="S172" s="20"/>
      <c r="T172" s="20"/>
      <c r="U172" s="20"/>
      <c r="V172" s="20"/>
      <c r="W172" s="20"/>
      <c r="X172" s="20"/>
      <c r="Y172" s="20"/>
      <c r="Z172" s="20"/>
      <c r="AA172" s="20" t="str">
        <f t="shared" si="10"/>
        <v/>
      </c>
      <c r="AB172" s="21">
        <f t="shared" si="11"/>
        <v>0</v>
      </c>
      <c r="AC172" s="20"/>
      <c r="AD172" s="20"/>
      <c r="AE172" s="20"/>
      <c r="AF172" s="20"/>
      <c r="AG172" s="20"/>
      <c r="AH172" s="22"/>
      <c r="AI172" s="23"/>
      <c r="AJ172" s="22"/>
      <c r="AK172" s="24" t="str">
        <f>IF(B172="","",AI172*Paramètres!$B$4+AJ172)</f>
        <v/>
      </c>
      <c r="AL172" s="25"/>
      <c r="AM172" s="25"/>
      <c r="AN172" s="27"/>
    </row>
    <row r="173" spans="1:40" ht="15">
      <c r="A173" s="16" t="str">
        <f t="shared" si="8"/>
        <v/>
      </c>
      <c r="B173" s="17"/>
      <c r="C173" s="16" t="str">
        <f t="shared" si="9"/>
        <v/>
      </c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9"/>
      <c r="R173" s="20"/>
      <c r="S173" s="20"/>
      <c r="T173" s="20"/>
      <c r="U173" s="20"/>
      <c r="V173" s="20"/>
      <c r="W173" s="20"/>
      <c r="X173" s="20"/>
      <c r="Y173" s="20"/>
      <c r="Z173" s="20"/>
      <c r="AA173" s="20" t="str">
        <f t="shared" si="10"/>
        <v/>
      </c>
      <c r="AB173" s="21">
        <f t="shared" si="11"/>
        <v>0</v>
      </c>
      <c r="AC173" s="20"/>
      <c r="AD173" s="20"/>
      <c r="AE173" s="20"/>
      <c r="AF173" s="20"/>
      <c r="AG173" s="20"/>
      <c r="AH173" s="22"/>
      <c r="AI173" s="23"/>
      <c r="AJ173" s="22"/>
      <c r="AK173" s="24" t="str">
        <f>IF(B173="","",AI173*Paramètres!$B$4+AJ173)</f>
        <v/>
      </c>
      <c r="AL173" s="25"/>
      <c r="AM173" s="25"/>
      <c r="AN173" s="27"/>
    </row>
    <row r="174" spans="1:40" ht="15">
      <c r="A174" s="16" t="str">
        <f t="shared" si="8"/>
        <v/>
      </c>
      <c r="B174" s="17"/>
      <c r="C174" s="16" t="str">
        <f t="shared" si="9"/>
        <v/>
      </c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9"/>
      <c r="R174" s="20"/>
      <c r="S174" s="20"/>
      <c r="T174" s="20"/>
      <c r="U174" s="20"/>
      <c r="V174" s="20"/>
      <c r="W174" s="20"/>
      <c r="X174" s="20"/>
      <c r="Y174" s="20"/>
      <c r="Z174" s="20"/>
      <c r="AA174" s="20" t="str">
        <f t="shared" si="10"/>
        <v/>
      </c>
      <c r="AB174" s="21">
        <f t="shared" si="11"/>
        <v>0</v>
      </c>
      <c r="AC174" s="20"/>
      <c r="AD174" s="20"/>
      <c r="AE174" s="20"/>
      <c r="AF174" s="20"/>
      <c r="AG174" s="20"/>
      <c r="AH174" s="22"/>
      <c r="AI174" s="23"/>
      <c r="AJ174" s="22"/>
      <c r="AK174" s="24" t="str">
        <f>IF(B174="","",AI174*Paramètres!$B$4+AJ174)</f>
        <v/>
      </c>
      <c r="AL174" s="25"/>
      <c r="AM174" s="25"/>
      <c r="AN174" s="27"/>
    </row>
    <row r="175" spans="1:40" ht="15">
      <c r="A175" s="16" t="str">
        <f t="shared" si="8"/>
        <v/>
      </c>
      <c r="B175" s="17"/>
      <c r="C175" s="16" t="str">
        <f t="shared" si="9"/>
        <v/>
      </c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9"/>
      <c r="R175" s="20"/>
      <c r="S175" s="20"/>
      <c r="T175" s="20"/>
      <c r="U175" s="20"/>
      <c r="V175" s="20"/>
      <c r="W175" s="20"/>
      <c r="X175" s="20"/>
      <c r="Y175" s="20"/>
      <c r="Z175" s="20"/>
      <c r="AA175" s="20" t="str">
        <f t="shared" si="10"/>
        <v/>
      </c>
      <c r="AB175" s="21">
        <f t="shared" si="11"/>
        <v>0</v>
      </c>
      <c r="AC175" s="20"/>
      <c r="AD175" s="20"/>
      <c r="AE175" s="20"/>
      <c r="AF175" s="20"/>
      <c r="AG175" s="20"/>
      <c r="AH175" s="22"/>
      <c r="AI175" s="23"/>
      <c r="AJ175" s="22"/>
      <c r="AK175" s="24" t="str">
        <f>IF(B175="","",AI175*Paramètres!$B$4+AJ175)</f>
        <v/>
      </c>
      <c r="AL175" s="25"/>
      <c r="AM175" s="25"/>
      <c r="AN175" s="27"/>
    </row>
    <row r="176" spans="1:40" ht="15">
      <c r="A176" s="16" t="str">
        <f t="shared" si="8"/>
        <v/>
      </c>
      <c r="B176" s="17"/>
      <c r="C176" s="16" t="str">
        <f t="shared" si="9"/>
        <v/>
      </c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9"/>
      <c r="R176" s="20"/>
      <c r="S176" s="20"/>
      <c r="T176" s="20"/>
      <c r="U176" s="20"/>
      <c r="V176" s="20"/>
      <c r="W176" s="20"/>
      <c r="X176" s="20"/>
      <c r="Y176" s="20"/>
      <c r="Z176" s="20"/>
      <c r="AA176" s="20" t="str">
        <f t="shared" si="10"/>
        <v/>
      </c>
      <c r="AB176" s="21">
        <f t="shared" si="11"/>
        <v>0</v>
      </c>
      <c r="AC176" s="20"/>
      <c r="AD176" s="20"/>
      <c r="AE176" s="20"/>
      <c r="AF176" s="20"/>
      <c r="AG176" s="20"/>
      <c r="AH176" s="22"/>
      <c r="AI176" s="23"/>
      <c r="AJ176" s="22"/>
      <c r="AK176" s="24" t="str">
        <f>IF(B176="","",AI176*Paramètres!$B$4+AJ176)</f>
        <v/>
      </c>
      <c r="AL176" s="25"/>
      <c r="AM176" s="25"/>
      <c r="AN176" s="27"/>
    </row>
    <row r="177" spans="1:40" ht="15">
      <c r="A177" s="16" t="str">
        <f t="shared" si="8"/>
        <v/>
      </c>
      <c r="B177" s="17"/>
      <c r="C177" s="16" t="str">
        <f t="shared" si="9"/>
        <v/>
      </c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9"/>
      <c r="R177" s="20"/>
      <c r="S177" s="20"/>
      <c r="T177" s="20"/>
      <c r="U177" s="20"/>
      <c r="V177" s="20"/>
      <c r="W177" s="20"/>
      <c r="X177" s="20"/>
      <c r="Y177" s="20"/>
      <c r="Z177" s="20"/>
      <c r="AA177" s="20" t="str">
        <f t="shared" si="10"/>
        <v/>
      </c>
      <c r="AB177" s="21">
        <f t="shared" si="11"/>
        <v>0</v>
      </c>
      <c r="AC177" s="20"/>
      <c r="AD177" s="20"/>
      <c r="AE177" s="20"/>
      <c r="AF177" s="20"/>
      <c r="AG177" s="20"/>
      <c r="AH177" s="22"/>
      <c r="AI177" s="23"/>
      <c r="AJ177" s="22"/>
      <c r="AK177" s="24" t="str">
        <f>IF(B177="","",AI177*Paramètres!$B$4+AJ177)</f>
        <v/>
      </c>
      <c r="AL177" s="25"/>
      <c r="AM177" s="25"/>
      <c r="AN177" s="27"/>
    </row>
    <row r="178" spans="1:40" ht="15">
      <c r="A178" s="16" t="str">
        <f t="shared" si="8"/>
        <v/>
      </c>
      <c r="B178" s="17"/>
      <c r="C178" s="16" t="str">
        <f t="shared" si="9"/>
        <v/>
      </c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9"/>
      <c r="R178" s="20"/>
      <c r="S178" s="20"/>
      <c r="T178" s="20"/>
      <c r="U178" s="20"/>
      <c r="V178" s="20"/>
      <c r="W178" s="20"/>
      <c r="X178" s="20"/>
      <c r="Y178" s="20"/>
      <c r="Z178" s="20"/>
      <c r="AA178" s="20" t="str">
        <f t="shared" si="10"/>
        <v/>
      </c>
      <c r="AB178" s="21">
        <f t="shared" si="11"/>
        <v>0</v>
      </c>
      <c r="AC178" s="20"/>
      <c r="AD178" s="20"/>
      <c r="AE178" s="20"/>
      <c r="AF178" s="20"/>
      <c r="AG178" s="20"/>
      <c r="AH178" s="22"/>
      <c r="AI178" s="23"/>
      <c r="AJ178" s="22"/>
      <c r="AK178" s="24" t="str">
        <f>IF(B178="","",AI178*Paramètres!$B$4+AJ178)</f>
        <v/>
      </c>
      <c r="AL178" s="25"/>
      <c r="AM178" s="25"/>
      <c r="AN178" s="27"/>
    </row>
    <row r="179" spans="1:40" ht="15">
      <c r="A179" s="16" t="str">
        <f t="shared" si="8"/>
        <v/>
      </c>
      <c r="B179" s="17"/>
      <c r="C179" s="16" t="str">
        <f t="shared" si="9"/>
        <v/>
      </c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9"/>
      <c r="R179" s="20"/>
      <c r="S179" s="20"/>
      <c r="T179" s="20"/>
      <c r="U179" s="20"/>
      <c r="V179" s="20"/>
      <c r="W179" s="20"/>
      <c r="X179" s="20"/>
      <c r="Y179" s="20"/>
      <c r="Z179" s="20"/>
      <c r="AA179" s="20" t="str">
        <f t="shared" si="10"/>
        <v/>
      </c>
      <c r="AB179" s="21">
        <f t="shared" si="11"/>
        <v>0</v>
      </c>
      <c r="AC179" s="20"/>
      <c r="AD179" s="20"/>
      <c r="AE179" s="20"/>
      <c r="AF179" s="20"/>
      <c r="AG179" s="20"/>
      <c r="AH179" s="22"/>
      <c r="AI179" s="23"/>
      <c r="AJ179" s="22"/>
      <c r="AK179" s="24" t="str">
        <f>IF(B179="","",AI179*Paramètres!$B$4+AJ179)</f>
        <v/>
      </c>
      <c r="AL179" s="25"/>
      <c r="AM179" s="25"/>
      <c r="AN179" s="27"/>
    </row>
    <row r="180" spans="1:40" ht="15">
      <c r="A180" s="16" t="str">
        <f t="shared" si="8"/>
        <v/>
      </c>
      <c r="B180" s="17"/>
      <c r="C180" s="16" t="str">
        <f t="shared" si="9"/>
        <v/>
      </c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9"/>
      <c r="R180" s="20"/>
      <c r="S180" s="20"/>
      <c r="T180" s="20"/>
      <c r="U180" s="20"/>
      <c r="V180" s="20"/>
      <c r="W180" s="20"/>
      <c r="X180" s="20"/>
      <c r="Y180" s="20"/>
      <c r="Z180" s="20"/>
      <c r="AA180" s="20" t="str">
        <f t="shared" si="10"/>
        <v/>
      </c>
      <c r="AB180" s="21">
        <f t="shared" si="11"/>
        <v>0</v>
      </c>
      <c r="AC180" s="20"/>
      <c r="AD180" s="20"/>
      <c r="AE180" s="20"/>
      <c r="AF180" s="20"/>
      <c r="AG180" s="20"/>
      <c r="AH180" s="22"/>
      <c r="AI180" s="23"/>
      <c r="AJ180" s="22"/>
      <c r="AK180" s="24" t="str">
        <f>IF(B180="","",AI180*Paramètres!$B$4+AJ180)</f>
        <v/>
      </c>
      <c r="AL180" s="25"/>
      <c r="AM180" s="25"/>
      <c r="AN180" s="27"/>
    </row>
    <row r="181" spans="1:40" ht="15">
      <c r="A181" s="16" t="str">
        <f t="shared" si="8"/>
        <v/>
      </c>
      <c r="B181" s="17"/>
      <c r="C181" s="16" t="str">
        <f t="shared" si="9"/>
        <v/>
      </c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9"/>
      <c r="R181" s="20"/>
      <c r="S181" s="20"/>
      <c r="T181" s="20"/>
      <c r="U181" s="20"/>
      <c r="V181" s="20"/>
      <c r="W181" s="20"/>
      <c r="X181" s="20"/>
      <c r="Y181" s="20"/>
      <c r="Z181" s="20"/>
      <c r="AA181" s="20" t="str">
        <f t="shared" si="10"/>
        <v/>
      </c>
      <c r="AB181" s="21">
        <f t="shared" si="11"/>
        <v>0</v>
      </c>
      <c r="AC181" s="20"/>
      <c r="AD181" s="20"/>
      <c r="AE181" s="20"/>
      <c r="AF181" s="20"/>
      <c r="AG181" s="20"/>
      <c r="AH181" s="22"/>
      <c r="AI181" s="23"/>
      <c r="AJ181" s="22"/>
      <c r="AK181" s="24" t="str">
        <f>IF(B181="","",AI181*Paramètres!$B$4+AJ181)</f>
        <v/>
      </c>
      <c r="AL181" s="25"/>
      <c r="AM181" s="25"/>
      <c r="AN181" s="27"/>
    </row>
    <row r="182" spans="1:40" ht="15">
      <c r="A182" s="16" t="str">
        <f t="shared" si="8"/>
        <v/>
      </c>
      <c r="B182" s="17"/>
      <c r="C182" s="16" t="str">
        <f t="shared" si="9"/>
        <v/>
      </c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9"/>
      <c r="R182" s="20"/>
      <c r="S182" s="20"/>
      <c r="T182" s="20"/>
      <c r="U182" s="20"/>
      <c r="V182" s="20"/>
      <c r="W182" s="20"/>
      <c r="X182" s="20"/>
      <c r="Y182" s="20"/>
      <c r="Z182" s="20"/>
      <c r="AA182" s="20" t="str">
        <f t="shared" si="10"/>
        <v/>
      </c>
      <c r="AB182" s="21">
        <f t="shared" si="11"/>
        <v>0</v>
      </c>
      <c r="AC182" s="20"/>
      <c r="AD182" s="20"/>
      <c r="AE182" s="20"/>
      <c r="AF182" s="20"/>
      <c r="AG182" s="20"/>
      <c r="AH182" s="22"/>
      <c r="AI182" s="23"/>
      <c r="AJ182" s="22"/>
      <c r="AK182" s="24" t="str">
        <f>IF(B182="","",AI182*Paramètres!$B$4+AJ182)</f>
        <v/>
      </c>
      <c r="AL182" s="25"/>
      <c r="AM182" s="25"/>
      <c r="AN182" s="27"/>
    </row>
    <row r="183" spans="1:40" ht="15">
      <c r="A183" s="16" t="str">
        <f t="shared" si="8"/>
        <v/>
      </c>
      <c r="B183" s="17"/>
      <c r="C183" s="16" t="str">
        <f t="shared" si="9"/>
        <v/>
      </c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9"/>
      <c r="R183" s="20"/>
      <c r="S183" s="20"/>
      <c r="T183" s="20"/>
      <c r="U183" s="20"/>
      <c r="V183" s="20"/>
      <c r="W183" s="20"/>
      <c r="X183" s="20"/>
      <c r="Y183" s="20"/>
      <c r="Z183" s="20"/>
      <c r="AA183" s="20" t="str">
        <f t="shared" si="10"/>
        <v/>
      </c>
      <c r="AB183" s="21">
        <f t="shared" si="11"/>
        <v>0</v>
      </c>
      <c r="AC183" s="20"/>
      <c r="AD183" s="20"/>
      <c r="AE183" s="20"/>
      <c r="AF183" s="20"/>
      <c r="AG183" s="20"/>
      <c r="AH183" s="22"/>
      <c r="AI183" s="23"/>
      <c r="AJ183" s="22"/>
      <c r="AK183" s="24" t="str">
        <f>IF(B183="","",AI183*Paramètres!$B$4+AJ183)</f>
        <v/>
      </c>
      <c r="AL183" s="25"/>
      <c r="AM183" s="25"/>
      <c r="AN183" s="27"/>
    </row>
    <row r="184" spans="1:40" ht="15">
      <c r="A184" s="16" t="str">
        <f t="shared" si="8"/>
        <v/>
      </c>
      <c r="B184" s="17"/>
      <c r="C184" s="16" t="str">
        <f t="shared" si="9"/>
        <v/>
      </c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9"/>
      <c r="R184" s="20"/>
      <c r="S184" s="20"/>
      <c r="T184" s="20"/>
      <c r="U184" s="20"/>
      <c r="V184" s="20"/>
      <c r="W184" s="20"/>
      <c r="X184" s="20"/>
      <c r="Y184" s="20"/>
      <c r="Z184" s="20"/>
      <c r="AA184" s="20" t="str">
        <f t="shared" si="10"/>
        <v/>
      </c>
      <c r="AB184" s="21">
        <f t="shared" si="11"/>
        <v>0</v>
      </c>
      <c r="AC184" s="20"/>
      <c r="AD184" s="20"/>
      <c r="AE184" s="20"/>
      <c r="AF184" s="20"/>
      <c r="AG184" s="20"/>
      <c r="AH184" s="22"/>
      <c r="AI184" s="23"/>
      <c r="AJ184" s="22"/>
      <c r="AK184" s="24" t="str">
        <f>IF(B184="","",AI184*Paramètres!$B$4+AJ184)</f>
        <v/>
      </c>
      <c r="AL184" s="25"/>
      <c r="AM184" s="25"/>
      <c r="AN184" s="27"/>
    </row>
    <row r="185" spans="1:40" ht="15">
      <c r="A185" s="16" t="str">
        <f t="shared" si="8"/>
        <v/>
      </c>
      <c r="B185" s="17"/>
      <c r="C185" s="16" t="str">
        <f t="shared" si="9"/>
        <v/>
      </c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9"/>
      <c r="R185" s="20"/>
      <c r="S185" s="20"/>
      <c r="T185" s="20"/>
      <c r="U185" s="20"/>
      <c r="V185" s="20"/>
      <c r="W185" s="20"/>
      <c r="X185" s="20"/>
      <c r="Y185" s="20"/>
      <c r="Z185" s="20"/>
      <c r="AA185" s="20" t="str">
        <f t="shared" si="10"/>
        <v/>
      </c>
      <c r="AB185" s="21">
        <f t="shared" si="11"/>
        <v>0</v>
      </c>
      <c r="AC185" s="20"/>
      <c r="AD185" s="20"/>
      <c r="AE185" s="20"/>
      <c r="AF185" s="20"/>
      <c r="AG185" s="20"/>
      <c r="AH185" s="22"/>
      <c r="AI185" s="23"/>
      <c r="AJ185" s="22"/>
      <c r="AK185" s="24" t="str">
        <f>IF(B185="","",AI185*Paramètres!$B$4+AJ185)</f>
        <v/>
      </c>
      <c r="AL185" s="25"/>
      <c r="AM185" s="25"/>
      <c r="AN185" s="27"/>
    </row>
    <row r="186" spans="1:40" ht="15">
      <c r="A186" s="16" t="str">
        <f t="shared" si="8"/>
        <v/>
      </c>
      <c r="B186" s="17"/>
      <c r="C186" s="16" t="str">
        <f t="shared" si="9"/>
        <v/>
      </c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9"/>
      <c r="R186" s="20"/>
      <c r="S186" s="20"/>
      <c r="T186" s="20"/>
      <c r="U186" s="20"/>
      <c r="V186" s="20"/>
      <c r="W186" s="20"/>
      <c r="X186" s="20"/>
      <c r="Y186" s="20"/>
      <c r="Z186" s="20"/>
      <c r="AA186" s="20" t="str">
        <f t="shared" si="10"/>
        <v/>
      </c>
      <c r="AB186" s="21">
        <f t="shared" si="11"/>
        <v>0</v>
      </c>
      <c r="AC186" s="20"/>
      <c r="AD186" s="20"/>
      <c r="AE186" s="20"/>
      <c r="AF186" s="20"/>
      <c r="AG186" s="20"/>
      <c r="AH186" s="22"/>
      <c r="AI186" s="23"/>
      <c r="AJ186" s="22"/>
      <c r="AK186" s="24" t="str">
        <f>IF(B186="","",AI186*Paramètres!$B$4+AJ186)</f>
        <v/>
      </c>
      <c r="AL186" s="25"/>
      <c r="AM186" s="25"/>
      <c r="AN186" s="27"/>
    </row>
    <row r="187" spans="1:40" ht="15">
      <c r="A187" s="16" t="str">
        <f t="shared" si="8"/>
        <v/>
      </c>
      <c r="B187" s="17"/>
      <c r="C187" s="16" t="str">
        <f t="shared" si="9"/>
        <v/>
      </c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9"/>
      <c r="R187" s="20"/>
      <c r="S187" s="20"/>
      <c r="T187" s="20"/>
      <c r="U187" s="20"/>
      <c r="V187" s="20"/>
      <c r="W187" s="20"/>
      <c r="X187" s="20"/>
      <c r="Y187" s="20"/>
      <c r="Z187" s="20"/>
      <c r="AA187" s="20" t="str">
        <f t="shared" si="10"/>
        <v/>
      </c>
      <c r="AB187" s="21">
        <f t="shared" si="11"/>
        <v>0</v>
      </c>
      <c r="AC187" s="20"/>
      <c r="AD187" s="20"/>
      <c r="AE187" s="20"/>
      <c r="AF187" s="20"/>
      <c r="AG187" s="20"/>
      <c r="AH187" s="22"/>
      <c r="AI187" s="23"/>
      <c r="AJ187" s="22"/>
      <c r="AK187" s="24" t="str">
        <f>IF(B187="","",AI187*Paramètres!$B$4+AJ187)</f>
        <v/>
      </c>
      <c r="AL187" s="25"/>
      <c r="AM187" s="25"/>
      <c r="AN187" s="27"/>
    </row>
    <row r="188" spans="1:40" ht="15">
      <c r="A188" s="16" t="str">
        <f t="shared" si="8"/>
        <v/>
      </c>
      <c r="B188" s="17"/>
      <c r="C188" s="16" t="str">
        <f t="shared" si="9"/>
        <v/>
      </c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9"/>
      <c r="R188" s="20"/>
      <c r="S188" s="20"/>
      <c r="T188" s="20"/>
      <c r="U188" s="20"/>
      <c r="V188" s="20"/>
      <c r="W188" s="20"/>
      <c r="X188" s="20"/>
      <c r="Y188" s="20"/>
      <c r="Z188" s="20"/>
      <c r="AA188" s="20" t="str">
        <f t="shared" si="10"/>
        <v/>
      </c>
      <c r="AB188" s="21">
        <f t="shared" si="11"/>
        <v>0</v>
      </c>
      <c r="AC188" s="20"/>
      <c r="AD188" s="20"/>
      <c r="AE188" s="20"/>
      <c r="AF188" s="20"/>
      <c r="AG188" s="20"/>
      <c r="AH188" s="22"/>
      <c r="AI188" s="23"/>
      <c r="AJ188" s="22"/>
      <c r="AK188" s="24" t="str">
        <f>IF(B188="","",AI188*Paramètres!$B$4+AJ188)</f>
        <v/>
      </c>
      <c r="AL188" s="25"/>
      <c r="AM188" s="25"/>
      <c r="AN188" s="27"/>
    </row>
    <row r="189" spans="1:40" ht="15">
      <c r="A189" s="16" t="str">
        <f t="shared" si="8"/>
        <v/>
      </c>
      <c r="B189" s="17"/>
      <c r="C189" s="16" t="str">
        <f t="shared" si="9"/>
        <v/>
      </c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9"/>
      <c r="R189" s="20"/>
      <c r="S189" s="20"/>
      <c r="T189" s="20"/>
      <c r="U189" s="20"/>
      <c r="V189" s="20"/>
      <c r="W189" s="20"/>
      <c r="X189" s="20"/>
      <c r="Y189" s="20"/>
      <c r="Z189" s="20"/>
      <c r="AA189" s="20" t="str">
        <f t="shared" si="10"/>
        <v/>
      </c>
      <c r="AB189" s="21">
        <f t="shared" si="11"/>
        <v>0</v>
      </c>
      <c r="AC189" s="20"/>
      <c r="AD189" s="20"/>
      <c r="AE189" s="20"/>
      <c r="AF189" s="20"/>
      <c r="AG189" s="20"/>
      <c r="AH189" s="22"/>
      <c r="AI189" s="23"/>
      <c r="AJ189" s="22"/>
      <c r="AK189" s="24" t="str">
        <f>IF(B189="","",AI189*Paramètres!$B$4+AJ189)</f>
        <v/>
      </c>
      <c r="AL189" s="25"/>
      <c r="AM189" s="25"/>
      <c r="AN189" s="27"/>
    </row>
    <row r="190" spans="1:40" ht="15">
      <c r="A190" s="16" t="str">
        <f t="shared" si="8"/>
        <v/>
      </c>
      <c r="B190" s="17"/>
      <c r="C190" s="16" t="str">
        <f t="shared" si="9"/>
        <v/>
      </c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9"/>
      <c r="R190" s="20"/>
      <c r="S190" s="20"/>
      <c r="T190" s="20"/>
      <c r="U190" s="20"/>
      <c r="V190" s="20"/>
      <c r="W190" s="20"/>
      <c r="X190" s="20"/>
      <c r="Y190" s="20"/>
      <c r="Z190" s="20"/>
      <c r="AA190" s="20" t="str">
        <f t="shared" si="10"/>
        <v/>
      </c>
      <c r="AB190" s="21">
        <f t="shared" si="11"/>
        <v>0</v>
      </c>
      <c r="AC190" s="20"/>
      <c r="AD190" s="20"/>
      <c r="AE190" s="20"/>
      <c r="AF190" s="20"/>
      <c r="AG190" s="20"/>
      <c r="AH190" s="22"/>
      <c r="AI190" s="23"/>
      <c r="AJ190" s="22"/>
      <c r="AK190" s="24" t="str">
        <f>IF(B190="","",AI190*Paramètres!$B$4+AJ190)</f>
        <v/>
      </c>
      <c r="AL190" s="25"/>
      <c r="AM190" s="25"/>
      <c r="AN190" s="27"/>
    </row>
    <row r="191" spans="1:40" ht="15">
      <c r="A191" s="16" t="str">
        <f t="shared" si="8"/>
        <v/>
      </c>
      <c r="B191" s="17"/>
      <c r="C191" s="16" t="str">
        <f t="shared" si="9"/>
        <v/>
      </c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9"/>
      <c r="R191" s="20"/>
      <c r="S191" s="20"/>
      <c r="T191" s="20"/>
      <c r="U191" s="20"/>
      <c r="V191" s="20"/>
      <c r="W191" s="20"/>
      <c r="X191" s="20"/>
      <c r="Y191" s="20"/>
      <c r="Z191" s="20"/>
      <c r="AA191" s="20" t="str">
        <f t="shared" si="10"/>
        <v/>
      </c>
      <c r="AB191" s="21">
        <f t="shared" si="11"/>
        <v>0</v>
      </c>
      <c r="AC191" s="20"/>
      <c r="AD191" s="20"/>
      <c r="AE191" s="20"/>
      <c r="AF191" s="20"/>
      <c r="AG191" s="20"/>
      <c r="AH191" s="22"/>
      <c r="AI191" s="23"/>
      <c r="AJ191" s="22"/>
      <c r="AK191" s="24" t="str">
        <f>IF(B191="","",AI191*Paramètres!$B$4+AJ191)</f>
        <v/>
      </c>
      <c r="AL191" s="25"/>
      <c r="AM191" s="25"/>
      <c r="AN191" s="27"/>
    </row>
    <row r="192" spans="1:40" ht="15">
      <c r="A192" s="16" t="str">
        <f t="shared" si="8"/>
        <v/>
      </c>
      <c r="B192" s="17"/>
      <c r="C192" s="16" t="str">
        <f t="shared" si="9"/>
        <v/>
      </c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9"/>
      <c r="R192" s="20"/>
      <c r="S192" s="20"/>
      <c r="T192" s="20"/>
      <c r="U192" s="20"/>
      <c r="V192" s="20"/>
      <c r="W192" s="20"/>
      <c r="X192" s="20"/>
      <c r="Y192" s="20"/>
      <c r="Z192" s="20"/>
      <c r="AA192" s="20" t="str">
        <f t="shared" si="10"/>
        <v/>
      </c>
      <c r="AB192" s="21">
        <f t="shared" si="11"/>
        <v>0</v>
      </c>
      <c r="AC192" s="20"/>
      <c r="AD192" s="20"/>
      <c r="AE192" s="20"/>
      <c r="AF192" s="20"/>
      <c r="AG192" s="20"/>
      <c r="AH192" s="22"/>
      <c r="AI192" s="23"/>
      <c r="AJ192" s="22"/>
      <c r="AK192" s="24" t="str">
        <f>IF(B192="","",AI192*Paramètres!$B$4+AJ192)</f>
        <v/>
      </c>
      <c r="AL192" s="25"/>
      <c r="AM192" s="25"/>
      <c r="AN192" s="27"/>
    </row>
    <row r="193" spans="1:40" ht="15">
      <c r="A193" s="16" t="str">
        <f t="shared" si="8"/>
        <v/>
      </c>
      <c r="B193" s="17"/>
      <c r="C193" s="16" t="str">
        <f t="shared" si="9"/>
        <v/>
      </c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9"/>
      <c r="R193" s="20"/>
      <c r="S193" s="20"/>
      <c r="T193" s="20"/>
      <c r="U193" s="20"/>
      <c r="V193" s="20"/>
      <c r="W193" s="20"/>
      <c r="X193" s="20"/>
      <c r="Y193" s="20"/>
      <c r="Z193" s="20"/>
      <c r="AA193" s="20" t="str">
        <f t="shared" si="10"/>
        <v/>
      </c>
      <c r="AB193" s="21">
        <f t="shared" si="11"/>
        <v>0</v>
      </c>
      <c r="AC193" s="20"/>
      <c r="AD193" s="20"/>
      <c r="AE193" s="20"/>
      <c r="AF193" s="20"/>
      <c r="AG193" s="20"/>
      <c r="AH193" s="22"/>
      <c r="AI193" s="23"/>
      <c r="AJ193" s="22"/>
      <c r="AK193" s="24" t="str">
        <f>IF(B193="","",AI193*Paramètres!$B$4+AJ193)</f>
        <v/>
      </c>
      <c r="AL193" s="25"/>
      <c r="AM193" s="25"/>
      <c r="AN193" s="27"/>
    </row>
    <row r="194" spans="1:40" ht="15">
      <c r="A194" s="16" t="str">
        <f t="shared" si="8"/>
        <v/>
      </c>
      <c r="B194" s="17"/>
      <c r="C194" s="16" t="str">
        <f t="shared" si="9"/>
        <v/>
      </c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9"/>
      <c r="R194" s="20"/>
      <c r="S194" s="20"/>
      <c r="T194" s="20"/>
      <c r="U194" s="20"/>
      <c r="V194" s="20"/>
      <c r="W194" s="20"/>
      <c r="X194" s="20"/>
      <c r="Y194" s="20"/>
      <c r="Z194" s="20"/>
      <c r="AA194" s="20" t="str">
        <f t="shared" si="10"/>
        <v/>
      </c>
      <c r="AB194" s="21">
        <f t="shared" si="11"/>
        <v>0</v>
      </c>
      <c r="AC194" s="20"/>
      <c r="AD194" s="20"/>
      <c r="AE194" s="20"/>
      <c r="AF194" s="20"/>
      <c r="AG194" s="20"/>
      <c r="AH194" s="22"/>
      <c r="AI194" s="23"/>
      <c r="AJ194" s="22"/>
      <c r="AK194" s="24" t="str">
        <f>IF(B194="","",AI194*Paramètres!$B$4+AJ194)</f>
        <v/>
      </c>
      <c r="AL194" s="25"/>
      <c r="AM194" s="25"/>
      <c r="AN194" s="27"/>
    </row>
    <row r="195" spans="1:40" ht="15">
      <c r="A195" s="16" t="str">
        <f t="shared" si="8"/>
        <v/>
      </c>
      <c r="B195" s="17"/>
      <c r="C195" s="16" t="str">
        <f t="shared" si="9"/>
        <v/>
      </c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9"/>
      <c r="R195" s="20"/>
      <c r="S195" s="20"/>
      <c r="T195" s="20"/>
      <c r="U195" s="20"/>
      <c r="V195" s="20"/>
      <c r="W195" s="20"/>
      <c r="X195" s="20"/>
      <c r="Y195" s="20"/>
      <c r="Z195" s="20"/>
      <c r="AA195" s="20" t="str">
        <f t="shared" si="10"/>
        <v/>
      </c>
      <c r="AB195" s="21">
        <f t="shared" si="11"/>
        <v>0</v>
      </c>
      <c r="AC195" s="20"/>
      <c r="AD195" s="20"/>
      <c r="AE195" s="20"/>
      <c r="AF195" s="20"/>
      <c r="AG195" s="20"/>
      <c r="AH195" s="22"/>
      <c r="AI195" s="23"/>
      <c r="AJ195" s="22"/>
      <c r="AK195" s="24" t="str">
        <f>IF(B195="","",AI195*Paramètres!$B$4+AJ195)</f>
        <v/>
      </c>
      <c r="AL195" s="25"/>
      <c r="AM195" s="25"/>
      <c r="AN195" s="27"/>
    </row>
    <row r="196" spans="1:40" ht="15">
      <c r="A196" s="16" t="str">
        <f t="shared" si="8"/>
        <v/>
      </c>
      <c r="B196" s="17"/>
      <c r="C196" s="16" t="str">
        <f t="shared" si="9"/>
        <v/>
      </c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9"/>
      <c r="R196" s="20"/>
      <c r="S196" s="20"/>
      <c r="T196" s="20"/>
      <c r="U196" s="20"/>
      <c r="V196" s="20"/>
      <c r="W196" s="20"/>
      <c r="X196" s="20"/>
      <c r="Y196" s="20"/>
      <c r="Z196" s="20"/>
      <c r="AA196" s="20" t="str">
        <f t="shared" si="10"/>
        <v/>
      </c>
      <c r="AB196" s="21">
        <f t="shared" si="11"/>
        <v>0</v>
      </c>
      <c r="AC196" s="20"/>
      <c r="AD196" s="20"/>
      <c r="AE196" s="20"/>
      <c r="AF196" s="20"/>
      <c r="AG196" s="20"/>
      <c r="AH196" s="22"/>
      <c r="AI196" s="23"/>
      <c r="AJ196" s="22"/>
      <c r="AK196" s="24" t="str">
        <f>IF(B196="","",AI196*Paramètres!$B$4+AJ196)</f>
        <v/>
      </c>
      <c r="AL196" s="25"/>
      <c r="AM196" s="25"/>
      <c r="AN196" s="27"/>
    </row>
    <row r="197" spans="1:40" ht="15">
      <c r="A197" s="16" t="str">
        <f t="shared" si="8"/>
        <v/>
      </c>
      <c r="B197" s="17"/>
      <c r="C197" s="16" t="str">
        <f t="shared" si="9"/>
        <v/>
      </c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9"/>
      <c r="R197" s="20"/>
      <c r="S197" s="20"/>
      <c r="T197" s="20"/>
      <c r="U197" s="20"/>
      <c r="V197" s="20"/>
      <c r="W197" s="20"/>
      <c r="X197" s="20"/>
      <c r="Y197" s="20"/>
      <c r="Z197" s="20"/>
      <c r="AA197" s="20" t="str">
        <f t="shared" si="10"/>
        <v/>
      </c>
      <c r="AB197" s="21">
        <f t="shared" si="11"/>
        <v>0</v>
      </c>
      <c r="AC197" s="20"/>
      <c r="AD197" s="20"/>
      <c r="AE197" s="20"/>
      <c r="AF197" s="20"/>
      <c r="AG197" s="20"/>
      <c r="AH197" s="22"/>
      <c r="AI197" s="23"/>
      <c r="AJ197" s="22"/>
      <c r="AK197" s="24" t="str">
        <f>IF(B197="","",AI197*Paramètres!$B$4+AJ197)</f>
        <v/>
      </c>
      <c r="AL197" s="25"/>
      <c r="AM197" s="25"/>
      <c r="AN197" s="27"/>
    </row>
    <row r="198" spans="1:40" ht="15">
      <c r="A198" s="16" t="str">
        <f t="shared" ref="A198:A261" si="12">IF(B198="","",ROW()-5)</f>
        <v/>
      </c>
      <c r="B198" s="17"/>
      <c r="C198" s="16" t="str">
        <f t="shared" ref="C198:C261" si="13">IF(B198="","",CHOOSE(MONTH(B198),"Janvier","Février","Mars","Avril","Mai","Juin","Juillet","Août","Septembre","Octobre","Novembre","Décembre"))</f>
        <v/>
      </c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9"/>
      <c r="R198" s="20"/>
      <c r="S198" s="20"/>
      <c r="T198" s="20"/>
      <c r="U198" s="20"/>
      <c r="V198" s="20"/>
      <c r="W198" s="20"/>
      <c r="X198" s="20"/>
      <c r="Y198" s="20"/>
      <c r="Z198" s="20"/>
      <c r="AA198" s="20" t="str">
        <f t="shared" ref="AA198:AA261" si="14">IF(B198="","",SUM(W198:Z198))</f>
        <v/>
      </c>
      <c r="AB198" s="21">
        <f t="shared" ref="AB198:AB261" si="15">IFERROR(AA198/T198,0)</f>
        <v>0</v>
      </c>
      <c r="AC198" s="20"/>
      <c r="AD198" s="20"/>
      <c r="AE198" s="20"/>
      <c r="AF198" s="20"/>
      <c r="AG198" s="20"/>
      <c r="AH198" s="22"/>
      <c r="AI198" s="23"/>
      <c r="AJ198" s="22"/>
      <c r="AK198" s="24" t="str">
        <f>IF(B198="","",AI198*Paramètres!$B$4+AJ198)</f>
        <v/>
      </c>
      <c r="AL198" s="25"/>
      <c r="AM198" s="25"/>
      <c r="AN198" s="27"/>
    </row>
    <row r="199" spans="1:40" ht="15">
      <c r="A199" s="16" t="str">
        <f t="shared" si="12"/>
        <v/>
      </c>
      <c r="B199" s="17"/>
      <c r="C199" s="16" t="str">
        <f t="shared" si="13"/>
        <v/>
      </c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9"/>
      <c r="R199" s="20"/>
      <c r="S199" s="20"/>
      <c r="T199" s="20"/>
      <c r="U199" s="20"/>
      <c r="V199" s="20"/>
      <c r="W199" s="20"/>
      <c r="X199" s="20"/>
      <c r="Y199" s="20"/>
      <c r="Z199" s="20"/>
      <c r="AA199" s="20" t="str">
        <f t="shared" si="14"/>
        <v/>
      </c>
      <c r="AB199" s="21">
        <f t="shared" si="15"/>
        <v>0</v>
      </c>
      <c r="AC199" s="20"/>
      <c r="AD199" s="20"/>
      <c r="AE199" s="20"/>
      <c r="AF199" s="20"/>
      <c r="AG199" s="20"/>
      <c r="AH199" s="22"/>
      <c r="AI199" s="23"/>
      <c r="AJ199" s="22"/>
      <c r="AK199" s="24" t="str">
        <f>IF(B199="","",AI199*Paramètres!$B$4+AJ199)</f>
        <v/>
      </c>
      <c r="AL199" s="25"/>
      <c r="AM199" s="25"/>
      <c r="AN199" s="27"/>
    </row>
    <row r="200" spans="1:40" ht="15">
      <c r="A200" s="16" t="str">
        <f t="shared" si="12"/>
        <v/>
      </c>
      <c r="B200" s="17"/>
      <c r="C200" s="16" t="str">
        <f t="shared" si="13"/>
        <v/>
      </c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9"/>
      <c r="R200" s="20"/>
      <c r="S200" s="20"/>
      <c r="T200" s="20"/>
      <c r="U200" s="20"/>
      <c r="V200" s="20"/>
      <c r="W200" s="20"/>
      <c r="X200" s="20"/>
      <c r="Y200" s="20"/>
      <c r="Z200" s="20"/>
      <c r="AA200" s="20" t="str">
        <f t="shared" si="14"/>
        <v/>
      </c>
      <c r="AB200" s="21">
        <f t="shared" si="15"/>
        <v>0</v>
      </c>
      <c r="AC200" s="20"/>
      <c r="AD200" s="20"/>
      <c r="AE200" s="20"/>
      <c r="AF200" s="20"/>
      <c r="AG200" s="20"/>
      <c r="AH200" s="22"/>
      <c r="AI200" s="23"/>
      <c r="AJ200" s="22"/>
      <c r="AK200" s="24" t="str">
        <f>IF(B200="","",AI200*Paramètres!$B$4+AJ200)</f>
        <v/>
      </c>
      <c r="AL200" s="25"/>
      <c r="AM200" s="25"/>
      <c r="AN200" s="27"/>
    </row>
    <row r="201" spans="1:40" ht="15">
      <c r="A201" s="16" t="str">
        <f t="shared" si="12"/>
        <v/>
      </c>
      <c r="B201" s="17"/>
      <c r="C201" s="16" t="str">
        <f t="shared" si="13"/>
        <v/>
      </c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9"/>
      <c r="R201" s="20"/>
      <c r="S201" s="20"/>
      <c r="T201" s="20"/>
      <c r="U201" s="20"/>
      <c r="V201" s="20"/>
      <c r="W201" s="20"/>
      <c r="X201" s="20"/>
      <c r="Y201" s="20"/>
      <c r="Z201" s="20"/>
      <c r="AA201" s="20" t="str">
        <f t="shared" si="14"/>
        <v/>
      </c>
      <c r="AB201" s="21">
        <f t="shared" si="15"/>
        <v>0</v>
      </c>
      <c r="AC201" s="20"/>
      <c r="AD201" s="20"/>
      <c r="AE201" s="20"/>
      <c r="AF201" s="20"/>
      <c r="AG201" s="20"/>
      <c r="AH201" s="22"/>
      <c r="AI201" s="23"/>
      <c r="AJ201" s="22"/>
      <c r="AK201" s="24" t="str">
        <f>IF(B201="","",AI201*Paramètres!$B$4+AJ201)</f>
        <v/>
      </c>
      <c r="AL201" s="25"/>
      <c r="AM201" s="25"/>
      <c r="AN201" s="27"/>
    </row>
    <row r="202" spans="1:40" ht="15">
      <c r="A202" s="16" t="str">
        <f t="shared" si="12"/>
        <v/>
      </c>
      <c r="B202" s="17"/>
      <c r="C202" s="16" t="str">
        <f t="shared" si="13"/>
        <v/>
      </c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9"/>
      <c r="R202" s="20"/>
      <c r="S202" s="20"/>
      <c r="T202" s="20"/>
      <c r="U202" s="20"/>
      <c r="V202" s="20"/>
      <c r="W202" s="20"/>
      <c r="X202" s="20"/>
      <c r="Y202" s="20"/>
      <c r="Z202" s="20"/>
      <c r="AA202" s="20" t="str">
        <f t="shared" si="14"/>
        <v/>
      </c>
      <c r="AB202" s="21">
        <f t="shared" si="15"/>
        <v>0</v>
      </c>
      <c r="AC202" s="20"/>
      <c r="AD202" s="20"/>
      <c r="AE202" s="20"/>
      <c r="AF202" s="20"/>
      <c r="AG202" s="20"/>
      <c r="AH202" s="22"/>
      <c r="AI202" s="23"/>
      <c r="AJ202" s="22"/>
      <c r="AK202" s="24" t="str">
        <f>IF(B202="","",AI202*Paramètres!$B$4+AJ202)</f>
        <v/>
      </c>
      <c r="AL202" s="25"/>
      <c r="AM202" s="25"/>
      <c r="AN202" s="27"/>
    </row>
    <row r="203" spans="1:40" ht="15">
      <c r="A203" s="16" t="str">
        <f t="shared" si="12"/>
        <v/>
      </c>
      <c r="B203" s="17"/>
      <c r="C203" s="16" t="str">
        <f t="shared" si="13"/>
        <v/>
      </c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9"/>
      <c r="R203" s="20"/>
      <c r="S203" s="20"/>
      <c r="T203" s="20"/>
      <c r="U203" s="20"/>
      <c r="V203" s="20"/>
      <c r="W203" s="20"/>
      <c r="X203" s="20"/>
      <c r="Y203" s="20"/>
      <c r="Z203" s="20"/>
      <c r="AA203" s="20" t="str">
        <f t="shared" si="14"/>
        <v/>
      </c>
      <c r="AB203" s="21">
        <f t="shared" si="15"/>
        <v>0</v>
      </c>
      <c r="AC203" s="20"/>
      <c r="AD203" s="20"/>
      <c r="AE203" s="20"/>
      <c r="AF203" s="20"/>
      <c r="AG203" s="20"/>
      <c r="AH203" s="22"/>
      <c r="AI203" s="23"/>
      <c r="AJ203" s="22"/>
      <c r="AK203" s="24" t="str">
        <f>IF(B203="","",AI203*Paramètres!$B$4+AJ203)</f>
        <v/>
      </c>
      <c r="AL203" s="25"/>
      <c r="AM203" s="25"/>
      <c r="AN203" s="27"/>
    </row>
    <row r="204" spans="1:40" ht="15">
      <c r="A204" s="16" t="str">
        <f t="shared" si="12"/>
        <v/>
      </c>
      <c r="B204" s="17"/>
      <c r="C204" s="16" t="str">
        <f t="shared" si="13"/>
        <v/>
      </c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9"/>
      <c r="R204" s="20"/>
      <c r="S204" s="20"/>
      <c r="T204" s="20"/>
      <c r="U204" s="20"/>
      <c r="V204" s="20"/>
      <c r="W204" s="20"/>
      <c r="X204" s="20"/>
      <c r="Y204" s="20"/>
      <c r="Z204" s="20"/>
      <c r="AA204" s="20" t="str">
        <f t="shared" si="14"/>
        <v/>
      </c>
      <c r="AB204" s="21">
        <f t="shared" si="15"/>
        <v>0</v>
      </c>
      <c r="AC204" s="20"/>
      <c r="AD204" s="20"/>
      <c r="AE204" s="20"/>
      <c r="AF204" s="20"/>
      <c r="AG204" s="20"/>
      <c r="AH204" s="22"/>
      <c r="AI204" s="23"/>
      <c r="AJ204" s="22"/>
      <c r="AK204" s="24" t="str">
        <f>IF(B204="","",AI204*Paramètres!$B$4+AJ204)</f>
        <v/>
      </c>
      <c r="AL204" s="25"/>
      <c r="AM204" s="25"/>
      <c r="AN204" s="27"/>
    </row>
    <row r="205" spans="1:40" ht="15">
      <c r="A205" s="16" t="str">
        <f t="shared" si="12"/>
        <v/>
      </c>
      <c r="B205" s="17"/>
      <c r="C205" s="16" t="str">
        <f t="shared" si="13"/>
        <v/>
      </c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9"/>
      <c r="R205" s="20"/>
      <c r="S205" s="20"/>
      <c r="T205" s="20"/>
      <c r="U205" s="20"/>
      <c r="V205" s="20"/>
      <c r="W205" s="20"/>
      <c r="X205" s="20"/>
      <c r="Y205" s="20"/>
      <c r="Z205" s="20"/>
      <c r="AA205" s="20" t="str">
        <f t="shared" si="14"/>
        <v/>
      </c>
      <c r="AB205" s="21">
        <f t="shared" si="15"/>
        <v>0</v>
      </c>
      <c r="AC205" s="20"/>
      <c r="AD205" s="20"/>
      <c r="AE205" s="20"/>
      <c r="AF205" s="20"/>
      <c r="AG205" s="20"/>
      <c r="AH205" s="22"/>
      <c r="AI205" s="23"/>
      <c r="AJ205" s="22"/>
      <c r="AK205" s="24" t="str">
        <f>IF(B205="","",AI205*Paramètres!$B$4+AJ205)</f>
        <v/>
      </c>
      <c r="AL205" s="25"/>
      <c r="AM205" s="25"/>
      <c r="AN205" s="27"/>
    </row>
    <row r="206" spans="1:40" ht="15">
      <c r="A206" s="16" t="str">
        <f t="shared" si="12"/>
        <v/>
      </c>
      <c r="B206" s="17"/>
      <c r="C206" s="16" t="str">
        <f t="shared" si="13"/>
        <v/>
      </c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9"/>
      <c r="R206" s="20"/>
      <c r="S206" s="20"/>
      <c r="T206" s="20"/>
      <c r="U206" s="20"/>
      <c r="V206" s="20"/>
      <c r="W206" s="20"/>
      <c r="X206" s="20"/>
      <c r="Y206" s="20"/>
      <c r="Z206" s="20"/>
      <c r="AA206" s="20" t="str">
        <f t="shared" si="14"/>
        <v/>
      </c>
      <c r="AB206" s="21">
        <f t="shared" si="15"/>
        <v>0</v>
      </c>
      <c r="AC206" s="20"/>
      <c r="AD206" s="20"/>
      <c r="AE206" s="20"/>
      <c r="AF206" s="20"/>
      <c r="AG206" s="20"/>
      <c r="AH206" s="22"/>
      <c r="AI206" s="23"/>
      <c r="AJ206" s="22"/>
      <c r="AK206" s="24" t="str">
        <f>IF(B206="","",AI206*Paramètres!$B$4+AJ206)</f>
        <v/>
      </c>
      <c r="AL206" s="25"/>
      <c r="AM206" s="25"/>
      <c r="AN206" s="27"/>
    </row>
    <row r="207" spans="1:40" ht="15">
      <c r="A207" s="16" t="str">
        <f t="shared" si="12"/>
        <v/>
      </c>
      <c r="B207" s="17"/>
      <c r="C207" s="16" t="str">
        <f t="shared" si="13"/>
        <v/>
      </c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9"/>
      <c r="R207" s="20"/>
      <c r="S207" s="20"/>
      <c r="T207" s="20"/>
      <c r="U207" s="20"/>
      <c r="V207" s="20"/>
      <c r="W207" s="20"/>
      <c r="X207" s="20"/>
      <c r="Y207" s="20"/>
      <c r="Z207" s="20"/>
      <c r="AA207" s="20" t="str">
        <f t="shared" si="14"/>
        <v/>
      </c>
      <c r="AB207" s="21">
        <f t="shared" si="15"/>
        <v>0</v>
      </c>
      <c r="AC207" s="20"/>
      <c r="AD207" s="20"/>
      <c r="AE207" s="20"/>
      <c r="AF207" s="20"/>
      <c r="AG207" s="20"/>
      <c r="AH207" s="22"/>
      <c r="AI207" s="23"/>
      <c r="AJ207" s="22"/>
      <c r="AK207" s="24" t="str">
        <f>IF(B207="","",AI207*Paramètres!$B$4+AJ207)</f>
        <v/>
      </c>
      <c r="AL207" s="25"/>
      <c r="AM207" s="25"/>
      <c r="AN207" s="27"/>
    </row>
    <row r="208" spans="1:40" ht="15">
      <c r="A208" s="16" t="str">
        <f t="shared" si="12"/>
        <v/>
      </c>
      <c r="B208" s="17"/>
      <c r="C208" s="16" t="str">
        <f t="shared" si="13"/>
        <v/>
      </c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9"/>
      <c r="R208" s="20"/>
      <c r="S208" s="20"/>
      <c r="T208" s="20"/>
      <c r="U208" s="20"/>
      <c r="V208" s="20"/>
      <c r="W208" s="20"/>
      <c r="X208" s="20"/>
      <c r="Y208" s="20"/>
      <c r="Z208" s="20"/>
      <c r="AA208" s="20" t="str">
        <f t="shared" si="14"/>
        <v/>
      </c>
      <c r="AB208" s="21">
        <f t="shared" si="15"/>
        <v>0</v>
      </c>
      <c r="AC208" s="20"/>
      <c r="AD208" s="20"/>
      <c r="AE208" s="20"/>
      <c r="AF208" s="20"/>
      <c r="AG208" s="20"/>
      <c r="AH208" s="22"/>
      <c r="AI208" s="23"/>
      <c r="AJ208" s="22"/>
      <c r="AK208" s="24" t="str">
        <f>IF(B208="","",AI208*Paramètres!$B$4+AJ208)</f>
        <v/>
      </c>
      <c r="AL208" s="25"/>
      <c r="AM208" s="25"/>
      <c r="AN208" s="27"/>
    </row>
    <row r="209" spans="1:40" ht="15">
      <c r="A209" s="16" t="str">
        <f t="shared" si="12"/>
        <v/>
      </c>
      <c r="B209" s="17"/>
      <c r="C209" s="16" t="str">
        <f t="shared" si="13"/>
        <v/>
      </c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9"/>
      <c r="R209" s="20"/>
      <c r="S209" s="20"/>
      <c r="T209" s="20"/>
      <c r="U209" s="20"/>
      <c r="V209" s="20"/>
      <c r="W209" s="20"/>
      <c r="X209" s="20"/>
      <c r="Y209" s="20"/>
      <c r="Z209" s="20"/>
      <c r="AA209" s="20" t="str">
        <f t="shared" si="14"/>
        <v/>
      </c>
      <c r="AB209" s="21">
        <f t="shared" si="15"/>
        <v>0</v>
      </c>
      <c r="AC209" s="20"/>
      <c r="AD209" s="20"/>
      <c r="AE209" s="20"/>
      <c r="AF209" s="20"/>
      <c r="AG209" s="20"/>
      <c r="AH209" s="22"/>
      <c r="AI209" s="23"/>
      <c r="AJ209" s="22"/>
      <c r="AK209" s="24" t="str">
        <f>IF(B209="","",AI209*Paramètres!$B$4+AJ209)</f>
        <v/>
      </c>
      <c r="AL209" s="25"/>
      <c r="AM209" s="25"/>
      <c r="AN209" s="27"/>
    </row>
    <row r="210" spans="1:40" ht="15">
      <c r="A210" s="16" t="str">
        <f t="shared" si="12"/>
        <v/>
      </c>
      <c r="B210" s="17"/>
      <c r="C210" s="16" t="str">
        <f t="shared" si="13"/>
        <v/>
      </c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9"/>
      <c r="R210" s="20"/>
      <c r="S210" s="20"/>
      <c r="T210" s="20"/>
      <c r="U210" s="20"/>
      <c r="V210" s="20"/>
      <c r="W210" s="20"/>
      <c r="X210" s="20"/>
      <c r="Y210" s="20"/>
      <c r="Z210" s="20"/>
      <c r="AA210" s="20" t="str">
        <f t="shared" si="14"/>
        <v/>
      </c>
      <c r="AB210" s="21">
        <f t="shared" si="15"/>
        <v>0</v>
      </c>
      <c r="AC210" s="20"/>
      <c r="AD210" s="20"/>
      <c r="AE210" s="20"/>
      <c r="AF210" s="20"/>
      <c r="AG210" s="20"/>
      <c r="AH210" s="22"/>
      <c r="AI210" s="23"/>
      <c r="AJ210" s="22"/>
      <c r="AK210" s="24" t="str">
        <f>IF(B210="","",AI210*Paramètres!$B$4+AJ210)</f>
        <v/>
      </c>
      <c r="AL210" s="25"/>
      <c r="AM210" s="25"/>
      <c r="AN210" s="27"/>
    </row>
    <row r="211" spans="1:40" ht="15">
      <c r="A211" s="16" t="str">
        <f t="shared" si="12"/>
        <v/>
      </c>
      <c r="B211" s="17"/>
      <c r="C211" s="16" t="str">
        <f t="shared" si="13"/>
        <v/>
      </c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9"/>
      <c r="R211" s="20"/>
      <c r="S211" s="20"/>
      <c r="T211" s="20"/>
      <c r="U211" s="20"/>
      <c r="V211" s="20"/>
      <c r="W211" s="20"/>
      <c r="X211" s="20"/>
      <c r="Y211" s="20"/>
      <c r="Z211" s="20"/>
      <c r="AA211" s="20" t="str">
        <f t="shared" si="14"/>
        <v/>
      </c>
      <c r="AB211" s="21">
        <f t="shared" si="15"/>
        <v>0</v>
      </c>
      <c r="AC211" s="20"/>
      <c r="AD211" s="20"/>
      <c r="AE211" s="20"/>
      <c r="AF211" s="20"/>
      <c r="AG211" s="20"/>
      <c r="AH211" s="22"/>
      <c r="AI211" s="23"/>
      <c r="AJ211" s="22"/>
      <c r="AK211" s="24" t="str">
        <f>IF(B211="","",AI211*Paramètres!$B$4+AJ211)</f>
        <v/>
      </c>
      <c r="AL211" s="25"/>
      <c r="AM211" s="25"/>
      <c r="AN211" s="27"/>
    </row>
    <row r="212" spans="1:40" ht="15">
      <c r="A212" s="16" t="str">
        <f t="shared" si="12"/>
        <v/>
      </c>
      <c r="B212" s="17"/>
      <c r="C212" s="16" t="str">
        <f t="shared" si="13"/>
        <v/>
      </c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9"/>
      <c r="R212" s="20"/>
      <c r="S212" s="20"/>
      <c r="T212" s="20"/>
      <c r="U212" s="20"/>
      <c r="V212" s="20"/>
      <c r="W212" s="20"/>
      <c r="X212" s="20"/>
      <c r="Y212" s="20"/>
      <c r="Z212" s="20"/>
      <c r="AA212" s="20" t="str">
        <f t="shared" si="14"/>
        <v/>
      </c>
      <c r="AB212" s="21">
        <f t="shared" si="15"/>
        <v>0</v>
      </c>
      <c r="AC212" s="20"/>
      <c r="AD212" s="20"/>
      <c r="AE212" s="20"/>
      <c r="AF212" s="20"/>
      <c r="AG212" s="20"/>
      <c r="AH212" s="22"/>
      <c r="AI212" s="23"/>
      <c r="AJ212" s="22"/>
      <c r="AK212" s="24" t="str">
        <f>IF(B212="","",AI212*Paramètres!$B$4+AJ212)</f>
        <v/>
      </c>
      <c r="AL212" s="25"/>
      <c r="AM212" s="25"/>
      <c r="AN212" s="27"/>
    </row>
    <row r="213" spans="1:40" ht="15">
      <c r="A213" s="16" t="str">
        <f t="shared" si="12"/>
        <v/>
      </c>
      <c r="B213" s="17"/>
      <c r="C213" s="16" t="str">
        <f t="shared" si="13"/>
        <v/>
      </c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9"/>
      <c r="R213" s="20"/>
      <c r="S213" s="20"/>
      <c r="T213" s="20"/>
      <c r="U213" s="20"/>
      <c r="V213" s="20"/>
      <c r="W213" s="20"/>
      <c r="X213" s="20"/>
      <c r="Y213" s="20"/>
      <c r="Z213" s="20"/>
      <c r="AA213" s="20" t="str">
        <f t="shared" si="14"/>
        <v/>
      </c>
      <c r="AB213" s="21">
        <f t="shared" si="15"/>
        <v>0</v>
      </c>
      <c r="AC213" s="20"/>
      <c r="AD213" s="20"/>
      <c r="AE213" s="20"/>
      <c r="AF213" s="20"/>
      <c r="AG213" s="20"/>
      <c r="AH213" s="22"/>
      <c r="AI213" s="23"/>
      <c r="AJ213" s="22"/>
      <c r="AK213" s="24" t="str">
        <f>IF(B213="","",AI213*Paramètres!$B$4+AJ213)</f>
        <v/>
      </c>
      <c r="AL213" s="25"/>
      <c r="AM213" s="25"/>
      <c r="AN213" s="27"/>
    </row>
    <row r="214" spans="1:40" ht="15">
      <c r="A214" s="16" t="str">
        <f t="shared" si="12"/>
        <v/>
      </c>
      <c r="B214" s="17"/>
      <c r="C214" s="16" t="str">
        <f t="shared" si="13"/>
        <v/>
      </c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9"/>
      <c r="R214" s="20"/>
      <c r="S214" s="20"/>
      <c r="T214" s="20"/>
      <c r="U214" s="20"/>
      <c r="V214" s="20"/>
      <c r="W214" s="20"/>
      <c r="X214" s="20"/>
      <c r="Y214" s="20"/>
      <c r="Z214" s="20"/>
      <c r="AA214" s="20" t="str">
        <f t="shared" si="14"/>
        <v/>
      </c>
      <c r="AB214" s="21">
        <f t="shared" si="15"/>
        <v>0</v>
      </c>
      <c r="AC214" s="20"/>
      <c r="AD214" s="20"/>
      <c r="AE214" s="20"/>
      <c r="AF214" s="20"/>
      <c r="AG214" s="20"/>
      <c r="AH214" s="22"/>
      <c r="AI214" s="23"/>
      <c r="AJ214" s="22"/>
      <c r="AK214" s="24" t="str">
        <f>IF(B214="","",AI214*Paramètres!$B$4+AJ214)</f>
        <v/>
      </c>
      <c r="AL214" s="25"/>
      <c r="AM214" s="25"/>
      <c r="AN214" s="27"/>
    </row>
    <row r="215" spans="1:40" ht="15">
      <c r="A215" s="16" t="str">
        <f t="shared" si="12"/>
        <v/>
      </c>
      <c r="B215" s="17"/>
      <c r="C215" s="16" t="str">
        <f t="shared" si="13"/>
        <v/>
      </c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9"/>
      <c r="R215" s="20"/>
      <c r="S215" s="20"/>
      <c r="T215" s="20"/>
      <c r="U215" s="20"/>
      <c r="V215" s="20"/>
      <c r="W215" s="20"/>
      <c r="X215" s="20"/>
      <c r="Y215" s="20"/>
      <c r="Z215" s="20"/>
      <c r="AA215" s="20" t="str">
        <f t="shared" si="14"/>
        <v/>
      </c>
      <c r="AB215" s="21">
        <f t="shared" si="15"/>
        <v>0</v>
      </c>
      <c r="AC215" s="20"/>
      <c r="AD215" s="20"/>
      <c r="AE215" s="20"/>
      <c r="AF215" s="20"/>
      <c r="AG215" s="20"/>
      <c r="AH215" s="22"/>
      <c r="AI215" s="23"/>
      <c r="AJ215" s="22"/>
      <c r="AK215" s="24" t="str">
        <f>IF(B215="","",AI215*Paramètres!$B$4+AJ215)</f>
        <v/>
      </c>
      <c r="AL215" s="25"/>
      <c r="AM215" s="25"/>
      <c r="AN215" s="27"/>
    </row>
    <row r="216" spans="1:40" ht="15">
      <c r="A216" s="16" t="str">
        <f t="shared" si="12"/>
        <v/>
      </c>
      <c r="B216" s="17"/>
      <c r="C216" s="16" t="str">
        <f t="shared" si="13"/>
        <v/>
      </c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9"/>
      <c r="R216" s="20"/>
      <c r="S216" s="20"/>
      <c r="T216" s="20"/>
      <c r="U216" s="20"/>
      <c r="V216" s="20"/>
      <c r="W216" s="20"/>
      <c r="X216" s="20"/>
      <c r="Y216" s="20"/>
      <c r="Z216" s="20"/>
      <c r="AA216" s="20" t="str">
        <f t="shared" si="14"/>
        <v/>
      </c>
      <c r="AB216" s="21">
        <f t="shared" si="15"/>
        <v>0</v>
      </c>
      <c r="AC216" s="20"/>
      <c r="AD216" s="20"/>
      <c r="AE216" s="20"/>
      <c r="AF216" s="20"/>
      <c r="AG216" s="20"/>
      <c r="AH216" s="22"/>
      <c r="AI216" s="23"/>
      <c r="AJ216" s="22"/>
      <c r="AK216" s="24" t="str">
        <f>IF(B216="","",AI216*Paramètres!$B$4+AJ216)</f>
        <v/>
      </c>
      <c r="AL216" s="25"/>
      <c r="AM216" s="25"/>
      <c r="AN216" s="27"/>
    </row>
    <row r="217" spans="1:40" ht="15">
      <c r="A217" s="16" t="str">
        <f t="shared" si="12"/>
        <v/>
      </c>
      <c r="B217" s="17"/>
      <c r="C217" s="16" t="str">
        <f t="shared" si="13"/>
        <v/>
      </c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9"/>
      <c r="R217" s="20"/>
      <c r="S217" s="20"/>
      <c r="T217" s="20"/>
      <c r="U217" s="20"/>
      <c r="V217" s="20"/>
      <c r="W217" s="20"/>
      <c r="X217" s="20"/>
      <c r="Y217" s="20"/>
      <c r="Z217" s="20"/>
      <c r="AA217" s="20" t="str">
        <f t="shared" si="14"/>
        <v/>
      </c>
      <c r="AB217" s="21">
        <f t="shared" si="15"/>
        <v>0</v>
      </c>
      <c r="AC217" s="20"/>
      <c r="AD217" s="20"/>
      <c r="AE217" s="20"/>
      <c r="AF217" s="20"/>
      <c r="AG217" s="20"/>
      <c r="AH217" s="22"/>
      <c r="AI217" s="23"/>
      <c r="AJ217" s="22"/>
      <c r="AK217" s="24" t="str">
        <f>IF(B217="","",AI217*Paramètres!$B$4+AJ217)</f>
        <v/>
      </c>
      <c r="AL217" s="25"/>
      <c r="AM217" s="25"/>
      <c r="AN217" s="27"/>
    </row>
    <row r="218" spans="1:40" ht="15">
      <c r="A218" s="16" t="str">
        <f t="shared" si="12"/>
        <v/>
      </c>
      <c r="B218" s="17"/>
      <c r="C218" s="16" t="str">
        <f t="shared" si="13"/>
        <v/>
      </c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9"/>
      <c r="R218" s="20"/>
      <c r="S218" s="20"/>
      <c r="T218" s="20"/>
      <c r="U218" s="20"/>
      <c r="V218" s="20"/>
      <c r="W218" s="20"/>
      <c r="X218" s="20"/>
      <c r="Y218" s="20"/>
      <c r="Z218" s="20"/>
      <c r="AA218" s="20" t="str">
        <f t="shared" si="14"/>
        <v/>
      </c>
      <c r="AB218" s="21">
        <f t="shared" si="15"/>
        <v>0</v>
      </c>
      <c r="AC218" s="20"/>
      <c r="AD218" s="20"/>
      <c r="AE218" s="20"/>
      <c r="AF218" s="20"/>
      <c r="AG218" s="20"/>
      <c r="AH218" s="22"/>
      <c r="AI218" s="23"/>
      <c r="AJ218" s="22"/>
      <c r="AK218" s="24" t="str">
        <f>IF(B218="","",AI218*Paramètres!$B$4+AJ218)</f>
        <v/>
      </c>
      <c r="AL218" s="25"/>
      <c r="AM218" s="25"/>
      <c r="AN218" s="27"/>
    </row>
    <row r="219" spans="1:40" ht="15">
      <c r="A219" s="16" t="str">
        <f t="shared" si="12"/>
        <v/>
      </c>
      <c r="B219" s="17"/>
      <c r="C219" s="16" t="str">
        <f t="shared" si="13"/>
        <v/>
      </c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9"/>
      <c r="R219" s="20"/>
      <c r="S219" s="20"/>
      <c r="T219" s="20"/>
      <c r="U219" s="20"/>
      <c r="V219" s="20"/>
      <c r="W219" s="20"/>
      <c r="X219" s="20"/>
      <c r="Y219" s="20"/>
      <c r="Z219" s="20"/>
      <c r="AA219" s="20" t="str">
        <f t="shared" si="14"/>
        <v/>
      </c>
      <c r="AB219" s="21">
        <f t="shared" si="15"/>
        <v>0</v>
      </c>
      <c r="AC219" s="20"/>
      <c r="AD219" s="20"/>
      <c r="AE219" s="20"/>
      <c r="AF219" s="20"/>
      <c r="AG219" s="20"/>
      <c r="AH219" s="22"/>
      <c r="AI219" s="23"/>
      <c r="AJ219" s="22"/>
      <c r="AK219" s="24" t="str">
        <f>IF(B219="","",AI219*Paramètres!$B$4+AJ219)</f>
        <v/>
      </c>
      <c r="AL219" s="25"/>
      <c r="AM219" s="25"/>
      <c r="AN219" s="27"/>
    </row>
    <row r="220" spans="1:40" ht="15">
      <c r="A220" s="16" t="str">
        <f t="shared" si="12"/>
        <v/>
      </c>
      <c r="B220" s="17"/>
      <c r="C220" s="16" t="str">
        <f t="shared" si="13"/>
        <v/>
      </c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9"/>
      <c r="R220" s="20"/>
      <c r="S220" s="20"/>
      <c r="T220" s="20"/>
      <c r="U220" s="20"/>
      <c r="V220" s="20"/>
      <c r="W220" s="20"/>
      <c r="X220" s="20"/>
      <c r="Y220" s="20"/>
      <c r="Z220" s="20"/>
      <c r="AA220" s="20" t="str">
        <f t="shared" si="14"/>
        <v/>
      </c>
      <c r="AB220" s="21">
        <f t="shared" si="15"/>
        <v>0</v>
      </c>
      <c r="AC220" s="20"/>
      <c r="AD220" s="20"/>
      <c r="AE220" s="20"/>
      <c r="AF220" s="20"/>
      <c r="AG220" s="20"/>
      <c r="AH220" s="22"/>
      <c r="AI220" s="23"/>
      <c r="AJ220" s="22"/>
      <c r="AK220" s="24" t="str">
        <f>IF(B220="","",AI220*Paramètres!$B$4+AJ220)</f>
        <v/>
      </c>
      <c r="AL220" s="25"/>
      <c r="AM220" s="25"/>
      <c r="AN220" s="27"/>
    </row>
    <row r="221" spans="1:40" ht="15">
      <c r="A221" s="16" t="str">
        <f t="shared" si="12"/>
        <v/>
      </c>
      <c r="B221" s="17"/>
      <c r="C221" s="16" t="str">
        <f t="shared" si="13"/>
        <v/>
      </c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9"/>
      <c r="R221" s="20"/>
      <c r="S221" s="20"/>
      <c r="T221" s="20"/>
      <c r="U221" s="20"/>
      <c r="V221" s="20"/>
      <c r="W221" s="20"/>
      <c r="X221" s="20"/>
      <c r="Y221" s="20"/>
      <c r="Z221" s="20"/>
      <c r="AA221" s="20" t="str">
        <f t="shared" si="14"/>
        <v/>
      </c>
      <c r="AB221" s="21">
        <f t="shared" si="15"/>
        <v>0</v>
      </c>
      <c r="AC221" s="20"/>
      <c r="AD221" s="20"/>
      <c r="AE221" s="20"/>
      <c r="AF221" s="20"/>
      <c r="AG221" s="20"/>
      <c r="AH221" s="22"/>
      <c r="AI221" s="23"/>
      <c r="AJ221" s="22"/>
      <c r="AK221" s="24" t="str">
        <f>IF(B221="","",AI221*Paramètres!$B$4+AJ221)</f>
        <v/>
      </c>
      <c r="AL221" s="25"/>
      <c r="AM221" s="25"/>
      <c r="AN221" s="27"/>
    </row>
    <row r="222" spans="1:40" ht="15">
      <c r="A222" s="16" t="str">
        <f t="shared" si="12"/>
        <v/>
      </c>
      <c r="B222" s="17"/>
      <c r="C222" s="16" t="str">
        <f t="shared" si="13"/>
        <v/>
      </c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9"/>
      <c r="R222" s="20"/>
      <c r="S222" s="20"/>
      <c r="T222" s="20"/>
      <c r="U222" s="20"/>
      <c r="V222" s="20"/>
      <c r="W222" s="20"/>
      <c r="X222" s="20"/>
      <c r="Y222" s="20"/>
      <c r="Z222" s="20"/>
      <c r="AA222" s="20" t="str">
        <f t="shared" si="14"/>
        <v/>
      </c>
      <c r="AB222" s="21">
        <f t="shared" si="15"/>
        <v>0</v>
      </c>
      <c r="AC222" s="20"/>
      <c r="AD222" s="20"/>
      <c r="AE222" s="20"/>
      <c r="AF222" s="20"/>
      <c r="AG222" s="20"/>
      <c r="AH222" s="22"/>
      <c r="AI222" s="23"/>
      <c r="AJ222" s="22"/>
      <c r="AK222" s="24" t="str">
        <f>IF(B222="","",AI222*Paramètres!$B$4+AJ222)</f>
        <v/>
      </c>
      <c r="AL222" s="25"/>
      <c r="AM222" s="25"/>
      <c r="AN222" s="27"/>
    </row>
    <row r="223" spans="1:40" ht="15">
      <c r="A223" s="16" t="str">
        <f t="shared" si="12"/>
        <v/>
      </c>
      <c r="B223" s="17"/>
      <c r="C223" s="16" t="str">
        <f t="shared" si="13"/>
        <v/>
      </c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9"/>
      <c r="R223" s="20"/>
      <c r="S223" s="20"/>
      <c r="T223" s="20"/>
      <c r="U223" s="20"/>
      <c r="V223" s="20"/>
      <c r="W223" s="20"/>
      <c r="X223" s="20"/>
      <c r="Y223" s="20"/>
      <c r="Z223" s="20"/>
      <c r="AA223" s="20" t="str">
        <f t="shared" si="14"/>
        <v/>
      </c>
      <c r="AB223" s="21">
        <f t="shared" si="15"/>
        <v>0</v>
      </c>
      <c r="AC223" s="20"/>
      <c r="AD223" s="20"/>
      <c r="AE223" s="20"/>
      <c r="AF223" s="20"/>
      <c r="AG223" s="20"/>
      <c r="AH223" s="22"/>
      <c r="AI223" s="23"/>
      <c r="AJ223" s="22"/>
      <c r="AK223" s="24" t="str">
        <f>IF(B223="","",AI223*Paramètres!$B$4+AJ223)</f>
        <v/>
      </c>
      <c r="AL223" s="25"/>
      <c r="AM223" s="25"/>
      <c r="AN223" s="27"/>
    </row>
    <row r="224" spans="1:40" ht="15">
      <c r="A224" s="16" t="str">
        <f t="shared" si="12"/>
        <v/>
      </c>
      <c r="B224" s="17"/>
      <c r="C224" s="16" t="str">
        <f t="shared" si="13"/>
        <v/>
      </c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9"/>
      <c r="R224" s="20"/>
      <c r="S224" s="20"/>
      <c r="T224" s="20"/>
      <c r="U224" s="20"/>
      <c r="V224" s="20"/>
      <c r="W224" s="20"/>
      <c r="X224" s="20"/>
      <c r="Y224" s="20"/>
      <c r="Z224" s="20"/>
      <c r="AA224" s="20" t="str">
        <f t="shared" si="14"/>
        <v/>
      </c>
      <c r="AB224" s="21">
        <f t="shared" si="15"/>
        <v>0</v>
      </c>
      <c r="AC224" s="20"/>
      <c r="AD224" s="20"/>
      <c r="AE224" s="20"/>
      <c r="AF224" s="20"/>
      <c r="AG224" s="20"/>
      <c r="AH224" s="22"/>
      <c r="AI224" s="23"/>
      <c r="AJ224" s="22"/>
      <c r="AK224" s="24" t="str">
        <f>IF(B224="","",AI224*Paramètres!$B$4+AJ224)</f>
        <v/>
      </c>
      <c r="AL224" s="25"/>
      <c r="AM224" s="25"/>
      <c r="AN224" s="27"/>
    </row>
    <row r="225" spans="1:40" ht="15">
      <c r="A225" s="16" t="str">
        <f t="shared" si="12"/>
        <v/>
      </c>
      <c r="B225" s="17"/>
      <c r="C225" s="16" t="str">
        <f t="shared" si="13"/>
        <v/>
      </c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9"/>
      <c r="R225" s="20"/>
      <c r="S225" s="20"/>
      <c r="T225" s="20"/>
      <c r="U225" s="20"/>
      <c r="V225" s="20"/>
      <c r="W225" s="20"/>
      <c r="X225" s="20"/>
      <c r="Y225" s="20"/>
      <c r="Z225" s="20"/>
      <c r="AA225" s="20" t="str">
        <f t="shared" si="14"/>
        <v/>
      </c>
      <c r="AB225" s="21">
        <f t="shared" si="15"/>
        <v>0</v>
      </c>
      <c r="AC225" s="20"/>
      <c r="AD225" s="20"/>
      <c r="AE225" s="20"/>
      <c r="AF225" s="20"/>
      <c r="AG225" s="20"/>
      <c r="AH225" s="22"/>
      <c r="AI225" s="23"/>
      <c r="AJ225" s="22"/>
      <c r="AK225" s="24" t="str">
        <f>IF(B225="","",AI225*Paramètres!$B$4+AJ225)</f>
        <v/>
      </c>
      <c r="AL225" s="25"/>
      <c r="AM225" s="25"/>
      <c r="AN225" s="27"/>
    </row>
    <row r="226" spans="1:40" ht="15">
      <c r="A226" s="16" t="str">
        <f t="shared" si="12"/>
        <v/>
      </c>
      <c r="B226" s="17"/>
      <c r="C226" s="16" t="str">
        <f t="shared" si="13"/>
        <v/>
      </c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9"/>
      <c r="R226" s="20"/>
      <c r="S226" s="20"/>
      <c r="T226" s="20"/>
      <c r="U226" s="20"/>
      <c r="V226" s="20"/>
      <c r="W226" s="20"/>
      <c r="X226" s="20"/>
      <c r="Y226" s="20"/>
      <c r="Z226" s="20"/>
      <c r="AA226" s="20" t="str">
        <f t="shared" si="14"/>
        <v/>
      </c>
      <c r="AB226" s="21">
        <f t="shared" si="15"/>
        <v>0</v>
      </c>
      <c r="AC226" s="20"/>
      <c r="AD226" s="20"/>
      <c r="AE226" s="20"/>
      <c r="AF226" s="20"/>
      <c r="AG226" s="20"/>
      <c r="AH226" s="22"/>
      <c r="AI226" s="23"/>
      <c r="AJ226" s="22"/>
      <c r="AK226" s="24" t="str">
        <f>IF(B226="","",AI226*Paramètres!$B$4+AJ226)</f>
        <v/>
      </c>
      <c r="AL226" s="25"/>
      <c r="AM226" s="25"/>
      <c r="AN226" s="27"/>
    </row>
    <row r="227" spans="1:40" ht="15">
      <c r="A227" s="16" t="str">
        <f t="shared" si="12"/>
        <v/>
      </c>
      <c r="B227" s="17"/>
      <c r="C227" s="16" t="str">
        <f t="shared" si="13"/>
        <v/>
      </c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9"/>
      <c r="R227" s="20"/>
      <c r="S227" s="20"/>
      <c r="T227" s="20"/>
      <c r="U227" s="20"/>
      <c r="V227" s="20"/>
      <c r="W227" s="20"/>
      <c r="X227" s="20"/>
      <c r="Y227" s="20"/>
      <c r="Z227" s="20"/>
      <c r="AA227" s="20" t="str">
        <f t="shared" si="14"/>
        <v/>
      </c>
      <c r="AB227" s="21">
        <f t="shared" si="15"/>
        <v>0</v>
      </c>
      <c r="AC227" s="20"/>
      <c r="AD227" s="20"/>
      <c r="AE227" s="20"/>
      <c r="AF227" s="20"/>
      <c r="AG227" s="20"/>
      <c r="AH227" s="22"/>
      <c r="AI227" s="23"/>
      <c r="AJ227" s="22"/>
      <c r="AK227" s="24" t="str">
        <f>IF(B227="","",AI227*Paramètres!$B$4+AJ227)</f>
        <v/>
      </c>
      <c r="AL227" s="25"/>
      <c r="AM227" s="25"/>
      <c r="AN227" s="27"/>
    </row>
    <row r="228" spans="1:40" ht="15">
      <c r="A228" s="16" t="str">
        <f t="shared" si="12"/>
        <v/>
      </c>
      <c r="B228" s="17"/>
      <c r="C228" s="16" t="str">
        <f t="shared" si="13"/>
        <v/>
      </c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9"/>
      <c r="R228" s="20"/>
      <c r="S228" s="20"/>
      <c r="T228" s="20"/>
      <c r="U228" s="20"/>
      <c r="V228" s="20"/>
      <c r="W228" s="20"/>
      <c r="X228" s="20"/>
      <c r="Y228" s="20"/>
      <c r="Z228" s="20"/>
      <c r="AA228" s="20" t="str">
        <f t="shared" si="14"/>
        <v/>
      </c>
      <c r="AB228" s="21">
        <f t="shared" si="15"/>
        <v>0</v>
      </c>
      <c r="AC228" s="20"/>
      <c r="AD228" s="20"/>
      <c r="AE228" s="20"/>
      <c r="AF228" s="20"/>
      <c r="AG228" s="20"/>
      <c r="AH228" s="22"/>
      <c r="AI228" s="23"/>
      <c r="AJ228" s="22"/>
      <c r="AK228" s="24" t="str">
        <f>IF(B228="","",AI228*Paramètres!$B$4+AJ228)</f>
        <v/>
      </c>
      <c r="AL228" s="25"/>
      <c r="AM228" s="25"/>
      <c r="AN228" s="27"/>
    </row>
    <row r="229" spans="1:40" ht="15">
      <c r="A229" s="16" t="str">
        <f t="shared" si="12"/>
        <v/>
      </c>
      <c r="B229" s="17"/>
      <c r="C229" s="16" t="str">
        <f t="shared" si="13"/>
        <v/>
      </c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9"/>
      <c r="R229" s="20"/>
      <c r="S229" s="20"/>
      <c r="T229" s="20"/>
      <c r="U229" s="20"/>
      <c r="V229" s="20"/>
      <c r="W229" s="20"/>
      <c r="X229" s="20"/>
      <c r="Y229" s="20"/>
      <c r="Z229" s="20"/>
      <c r="AA229" s="20" t="str">
        <f t="shared" si="14"/>
        <v/>
      </c>
      <c r="AB229" s="21">
        <f t="shared" si="15"/>
        <v>0</v>
      </c>
      <c r="AC229" s="20"/>
      <c r="AD229" s="20"/>
      <c r="AE229" s="20"/>
      <c r="AF229" s="20"/>
      <c r="AG229" s="20"/>
      <c r="AH229" s="22"/>
      <c r="AI229" s="23"/>
      <c r="AJ229" s="22"/>
      <c r="AK229" s="24" t="str">
        <f>IF(B229="","",AI229*Paramètres!$B$4+AJ229)</f>
        <v/>
      </c>
      <c r="AL229" s="25"/>
      <c r="AM229" s="25"/>
      <c r="AN229" s="27"/>
    </row>
    <row r="230" spans="1:40" ht="15">
      <c r="A230" s="16" t="str">
        <f t="shared" si="12"/>
        <v/>
      </c>
      <c r="B230" s="17"/>
      <c r="C230" s="16" t="str">
        <f t="shared" si="13"/>
        <v/>
      </c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9"/>
      <c r="R230" s="20"/>
      <c r="S230" s="20"/>
      <c r="T230" s="20"/>
      <c r="U230" s="20"/>
      <c r="V230" s="20"/>
      <c r="W230" s="20"/>
      <c r="X230" s="20"/>
      <c r="Y230" s="20"/>
      <c r="Z230" s="20"/>
      <c r="AA230" s="20" t="str">
        <f t="shared" si="14"/>
        <v/>
      </c>
      <c r="AB230" s="21">
        <f t="shared" si="15"/>
        <v>0</v>
      </c>
      <c r="AC230" s="20"/>
      <c r="AD230" s="20"/>
      <c r="AE230" s="20"/>
      <c r="AF230" s="20"/>
      <c r="AG230" s="20"/>
      <c r="AH230" s="22"/>
      <c r="AI230" s="23"/>
      <c r="AJ230" s="22"/>
      <c r="AK230" s="24" t="str">
        <f>IF(B230="","",AI230*Paramètres!$B$4+AJ230)</f>
        <v/>
      </c>
      <c r="AL230" s="25"/>
      <c r="AM230" s="25"/>
      <c r="AN230" s="27"/>
    </row>
    <row r="231" spans="1:40" ht="15">
      <c r="A231" s="16" t="str">
        <f t="shared" si="12"/>
        <v/>
      </c>
      <c r="B231" s="17"/>
      <c r="C231" s="16" t="str">
        <f t="shared" si="13"/>
        <v/>
      </c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9"/>
      <c r="R231" s="20"/>
      <c r="S231" s="20"/>
      <c r="T231" s="20"/>
      <c r="U231" s="20"/>
      <c r="V231" s="20"/>
      <c r="W231" s="20"/>
      <c r="X231" s="20"/>
      <c r="Y231" s="20"/>
      <c r="Z231" s="20"/>
      <c r="AA231" s="20" t="str">
        <f t="shared" si="14"/>
        <v/>
      </c>
      <c r="AB231" s="21">
        <f t="shared" si="15"/>
        <v>0</v>
      </c>
      <c r="AC231" s="20"/>
      <c r="AD231" s="20"/>
      <c r="AE231" s="20"/>
      <c r="AF231" s="20"/>
      <c r="AG231" s="20"/>
      <c r="AH231" s="22"/>
      <c r="AI231" s="23"/>
      <c r="AJ231" s="22"/>
      <c r="AK231" s="24" t="str">
        <f>IF(B231="","",AI231*Paramètres!$B$4+AJ231)</f>
        <v/>
      </c>
      <c r="AL231" s="25"/>
      <c r="AM231" s="25"/>
      <c r="AN231" s="27"/>
    </row>
    <row r="232" spans="1:40" ht="15">
      <c r="A232" s="16" t="str">
        <f t="shared" si="12"/>
        <v/>
      </c>
      <c r="B232" s="17"/>
      <c r="C232" s="16" t="str">
        <f t="shared" si="13"/>
        <v/>
      </c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9"/>
      <c r="R232" s="20"/>
      <c r="S232" s="20"/>
      <c r="T232" s="20"/>
      <c r="U232" s="20"/>
      <c r="V232" s="20"/>
      <c r="W232" s="20"/>
      <c r="X232" s="20"/>
      <c r="Y232" s="20"/>
      <c r="Z232" s="20"/>
      <c r="AA232" s="20" t="str">
        <f t="shared" si="14"/>
        <v/>
      </c>
      <c r="AB232" s="21">
        <f t="shared" si="15"/>
        <v>0</v>
      </c>
      <c r="AC232" s="20"/>
      <c r="AD232" s="20"/>
      <c r="AE232" s="20"/>
      <c r="AF232" s="20"/>
      <c r="AG232" s="20"/>
      <c r="AH232" s="22"/>
      <c r="AI232" s="23"/>
      <c r="AJ232" s="22"/>
      <c r="AK232" s="24" t="str">
        <f>IF(B232="","",AI232*Paramètres!$B$4+AJ232)</f>
        <v/>
      </c>
      <c r="AL232" s="25"/>
      <c r="AM232" s="25"/>
      <c r="AN232" s="27"/>
    </row>
    <row r="233" spans="1:40" ht="15">
      <c r="A233" s="16" t="str">
        <f t="shared" si="12"/>
        <v/>
      </c>
      <c r="B233" s="17"/>
      <c r="C233" s="16" t="str">
        <f t="shared" si="13"/>
        <v/>
      </c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9"/>
      <c r="R233" s="20"/>
      <c r="S233" s="20"/>
      <c r="T233" s="20"/>
      <c r="U233" s="20"/>
      <c r="V233" s="20"/>
      <c r="W233" s="20"/>
      <c r="X233" s="20"/>
      <c r="Y233" s="20"/>
      <c r="Z233" s="20"/>
      <c r="AA233" s="20" t="str">
        <f t="shared" si="14"/>
        <v/>
      </c>
      <c r="AB233" s="21">
        <f t="shared" si="15"/>
        <v>0</v>
      </c>
      <c r="AC233" s="20"/>
      <c r="AD233" s="20"/>
      <c r="AE233" s="20"/>
      <c r="AF233" s="20"/>
      <c r="AG233" s="20"/>
      <c r="AH233" s="22"/>
      <c r="AI233" s="23"/>
      <c r="AJ233" s="22"/>
      <c r="AK233" s="24" t="str">
        <f>IF(B233="","",AI233*Paramètres!$B$4+AJ233)</f>
        <v/>
      </c>
      <c r="AL233" s="25"/>
      <c r="AM233" s="25"/>
      <c r="AN233" s="27"/>
    </row>
    <row r="234" spans="1:40" ht="15">
      <c r="A234" s="16" t="str">
        <f t="shared" si="12"/>
        <v/>
      </c>
      <c r="B234" s="17"/>
      <c r="C234" s="16" t="str">
        <f t="shared" si="13"/>
        <v/>
      </c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9"/>
      <c r="R234" s="20"/>
      <c r="S234" s="20"/>
      <c r="T234" s="20"/>
      <c r="U234" s="20"/>
      <c r="V234" s="20"/>
      <c r="W234" s="20"/>
      <c r="X234" s="20"/>
      <c r="Y234" s="20"/>
      <c r="Z234" s="20"/>
      <c r="AA234" s="20" t="str">
        <f t="shared" si="14"/>
        <v/>
      </c>
      <c r="AB234" s="21">
        <f t="shared" si="15"/>
        <v>0</v>
      </c>
      <c r="AC234" s="20"/>
      <c r="AD234" s="20"/>
      <c r="AE234" s="20"/>
      <c r="AF234" s="20"/>
      <c r="AG234" s="20"/>
      <c r="AH234" s="22"/>
      <c r="AI234" s="23"/>
      <c r="AJ234" s="22"/>
      <c r="AK234" s="24" t="str">
        <f>IF(B234="","",AI234*Paramètres!$B$4+AJ234)</f>
        <v/>
      </c>
      <c r="AL234" s="25"/>
      <c r="AM234" s="25"/>
      <c r="AN234" s="27"/>
    </row>
    <row r="235" spans="1:40" ht="15">
      <c r="A235" s="16" t="str">
        <f t="shared" si="12"/>
        <v/>
      </c>
      <c r="B235" s="17"/>
      <c r="C235" s="16" t="str">
        <f t="shared" si="13"/>
        <v/>
      </c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9"/>
      <c r="R235" s="20"/>
      <c r="S235" s="20"/>
      <c r="T235" s="20"/>
      <c r="U235" s="20"/>
      <c r="V235" s="20"/>
      <c r="W235" s="20"/>
      <c r="X235" s="20"/>
      <c r="Y235" s="20"/>
      <c r="Z235" s="20"/>
      <c r="AA235" s="20" t="str">
        <f t="shared" si="14"/>
        <v/>
      </c>
      <c r="AB235" s="21">
        <f t="shared" si="15"/>
        <v>0</v>
      </c>
      <c r="AC235" s="20"/>
      <c r="AD235" s="20"/>
      <c r="AE235" s="20"/>
      <c r="AF235" s="20"/>
      <c r="AG235" s="20"/>
      <c r="AH235" s="22"/>
      <c r="AI235" s="23"/>
      <c r="AJ235" s="22"/>
      <c r="AK235" s="24" t="str">
        <f>IF(B235="","",AI235*Paramètres!$B$4+AJ235)</f>
        <v/>
      </c>
      <c r="AL235" s="25"/>
      <c r="AM235" s="25"/>
      <c r="AN235" s="27"/>
    </row>
    <row r="236" spans="1:40" ht="15">
      <c r="A236" s="16" t="str">
        <f t="shared" si="12"/>
        <v/>
      </c>
      <c r="B236" s="17"/>
      <c r="C236" s="16" t="str">
        <f t="shared" si="13"/>
        <v/>
      </c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9"/>
      <c r="R236" s="20"/>
      <c r="S236" s="20"/>
      <c r="T236" s="20"/>
      <c r="U236" s="20"/>
      <c r="V236" s="20"/>
      <c r="W236" s="20"/>
      <c r="X236" s="20"/>
      <c r="Y236" s="20"/>
      <c r="Z236" s="20"/>
      <c r="AA236" s="20" t="str">
        <f t="shared" si="14"/>
        <v/>
      </c>
      <c r="AB236" s="21">
        <f t="shared" si="15"/>
        <v>0</v>
      </c>
      <c r="AC236" s="20"/>
      <c r="AD236" s="20"/>
      <c r="AE236" s="20"/>
      <c r="AF236" s="20"/>
      <c r="AG236" s="20"/>
      <c r="AH236" s="22"/>
      <c r="AI236" s="23"/>
      <c r="AJ236" s="22"/>
      <c r="AK236" s="24" t="str">
        <f>IF(B236="","",AI236*Paramètres!$B$4+AJ236)</f>
        <v/>
      </c>
      <c r="AL236" s="25"/>
      <c r="AM236" s="25"/>
      <c r="AN236" s="27"/>
    </row>
    <row r="237" spans="1:40" ht="15">
      <c r="A237" s="16" t="str">
        <f t="shared" si="12"/>
        <v/>
      </c>
      <c r="B237" s="17"/>
      <c r="C237" s="16" t="str">
        <f t="shared" si="13"/>
        <v/>
      </c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9"/>
      <c r="R237" s="20"/>
      <c r="S237" s="20"/>
      <c r="T237" s="20"/>
      <c r="U237" s="20"/>
      <c r="V237" s="20"/>
      <c r="W237" s="20"/>
      <c r="X237" s="20"/>
      <c r="Y237" s="20"/>
      <c r="Z237" s="20"/>
      <c r="AA237" s="20" t="str">
        <f t="shared" si="14"/>
        <v/>
      </c>
      <c r="AB237" s="21">
        <f t="shared" si="15"/>
        <v>0</v>
      </c>
      <c r="AC237" s="20"/>
      <c r="AD237" s="20"/>
      <c r="AE237" s="20"/>
      <c r="AF237" s="20"/>
      <c r="AG237" s="20"/>
      <c r="AH237" s="22"/>
      <c r="AI237" s="23"/>
      <c r="AJ237" s="22"/>
      <c r="AK237" s="24" t="str">
        <f>IF(B237="","",AI237*Paramètres!$B$4+AJ237)</f>
        <v/>
      </c>
      <c r="AL237" s="25"/>
      <c r="AM237" s="25"/>
      <c r="AN237" s="27"/>
    </row>
    <row r="238" spans="1:40" ht="15">
      <c r="A238" s="16" t="str">
        <f t="shared" si="12"/>
        <v/>
      </c>
      <c r="B238" s="17"/>
      <c r="C238" s="16" t="str">
        <f t="shared" si="13"/>
        <v/>
      </c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9"/>
      <c r="R238" s="20"/>
      <c r="S238" s="20"/>
      <c r="T238" s="20"/>
      <c r="U238" s="20"/>
      <c r="V238" s="20"/>
      <c r="W238" s="20"/>
      <c r="X238" s="20"/>
      <c r="Y238" s="20"/>
      <c r="Z238" s="20"/>
      <c r="AA238" s="20" t="str">
        <f t="shared" si="14"/>
        <v/>
      </c>
      <c r="AB238" s="21">
        <f t="shared" si="15"/>
        <v>0</v>
      </c>
      <c r="AC238" s="20"/>
      <c r="AD238" s="20"/>
      <c r="AE238" s="20"/>
      <c r="AF238" s="20"/>
      <c r="AG238" s="20"/>
      <c r="AH238" s="22"/>
      <c r="AI238" s="23"/>
      <c r="AJ238" s="22"/>
      <c r="AK238" s="24" t="str">
        <f>IF(B238="","",AI238*Paramètres!$B$4+AJ238)</f>
        <v/>
      </c>
      <c r="AL238" s="25"/>
      <c r="AM238" s="25"/>
      <c r="AN238" s="27"/>
    </row>
    <row r="239" spans="1:40" ht="15">
      <c r="A239" s="16" t="str">
        <f t="shared" si="12"/>
        <v/>
      </c>
      <c r="B239" s="17"/>
      <c r="C239" s="16" t="str">
        <f t="shared" si="13"/>
        <v/>
      </c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9"/>
      <c r="R239" s="20"/>
      <c r="S239" s="20"/>
      <c r="T239" s="20"/>
      <c r="U239" s="20"/>
      <c r="V239" s="20"/>
      <c r="W239" s="20"/>
      <c r="X239" s="20"/>
      <c r="Y239" s="20"/>
      <c r="Z239" s="20"/>
      <c r="AA239" s="20" t="str">
        <f t="shared" si="14"/>
        <v/>
      </c>
      <c r="AB239" s="21">
        <f t="shared" si="15"/>
        <v>0</v>
      </c>
      <c r="AC239" s="20"/>
      <c r="AD239" s="20"/>
      <c r="AE239" s="20"/>
      <c r="AF239" s="20"/>
      <c r="AG239" s="20"/>
      <c r="AH239" s="22"/>
      <c r="AI239" s="23"/>
      <c r="AJ239" s="22"/>
      <c r="AK239" s="24" t="str">
        <f>IF(B239="","",AI239*Paramètres!$B$4+AJ239)</f>
        <v/>
      </c>
      <c r="AL239" s="25"/>
      <c r="AM239" s="25"/>
      <c r="AN239" s="27"/>
    </row>
    <row r="240" spans="1:40" ht="15">
      <c r="A240" s="16" t="str">
        <f t="shared" si="12"/>
        <v/>
      </c>
      <c r="B240" s="17"/>
      <c r="C240" s="16" t="str">
        <f t="shared" si="13"/>
        <v/>
      </c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9"/>
      <c r="R240" s="20"/>
      <c r="S240" s="20"/>
      <c r="T240" s="20"/>
      <c r="U240" s="20"/>
      <c r="V240" s="20"/>
      <c r="W240" s="20"/>
      <c r="X240" s="20"/>
      <c r="Y240" s="20"/>
      <c r="Z240" s="20"/>
      <c r="AA240" s="20" t="str">
        <f t="shared" si="14"/>
        <v/>
      </c>
      <c r="AB240" s="21">
        <f t="shared" si="15"/>
        <v>0</v>
      </c>
      <c r="AC240" s="20"/>
      <c r="AD240" s="20"/>
      <c r="AE240" s="20"/>
      <c r="AF240" s="20"/>
      <c r="AG240" s="20"/>
      <c r="AH240" s="22"/>
      <c r="AI240" s="23"/>
      <c r="AJ240" s="22"/>
      <c r="AK240" s="24" t="str">
        <f>IF(B240="","",AI240*Paramètres!$B$4+AJ240)</f>
        <v/>
      </c>
      <c r="AL240" s="25"/>
      <c r="AM240" s="25"/>
      <c r="AN240" s="27"/>
    </row>
    <row r="241" spans="1:40" ht="15">
      <c r="A241" s="16" t="str">
        <f t="shared" si="12"/>
        <v/>
      </c>
      <c r="B241" s="17"/>
      <c r="C241" s="16" t="str">
        <f t="shared" si="13"/>
        <v/>
      </c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9"/>
      <c r="R241" s="20"/>
      <c r="S241" s="20"/>
      <c r="T241" s="20"/>
      <c r="U241" s="20"/>
      <c r="V241" s="20"/>
      <c r="W241" s="20"/>
      <c r="X241" s="20"/>
      <c r="Y241" s="20"/>
      <c r="Z241" s="20"/>
      <c r="AA241" s="20" t="str">
        <f t="shared" si="14"/>
        <v/>
      </c>
      <c r="AB241" s="21">
        <f t="shared" si="15"/>
        <v>0</v>
      </c>
      <c r="AC241" s="20"/>
      <c r="AD241" s="20"/>
      <c r="AE241" s="20"/>
      <c r="AF241" s="20"/>
      <c r="AG241" s="20"/>
      <c r="AH241" s="22"/>
      <c r="AI241" s="23"/>
      <c r="AJ241" s="22"/>
      <c r="AK241" s="24" t="str">
        <f>IF(B241="","",AI241*Paramètres!$B$4+AJ241)</f>
        <v/>
      </c>
      <c r="AL241" s="25"/>
      <c r="AM241" s="25"/>
      <c r="AN241" s="27"/>
    </row>
    <row r="242" spans="1:40" ht="15">
      <c r="A242" s="16" t="str">
        <f t="shared" si="12"/>
        <v/>
      </c>
      <c r="B242" s="17"/>
      <c r="C242" s="16" t="str">
        <f t="shared" si="13"/>
        <v/>
      </c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9"/>
      <c r="R242" s="20"/>
      <c r="S242" s="20"/>
      <c r="T242" s="20"/>
      <c r="U242" s="20"/>
      <c r="V242" s="20"/>
      <c r="W242" s="20"/>
      <c r="X242" s="20"/>
      <c r="Y242" s="20"/>
      <c r="Z242" s="20"/>
      <c r="AA242" s="20" t="str">
        <f t="shared" si="14"/>
        <v/>
      </c>
      <c r="AB242" s="21">
        <f t="shared" si="15"/>
        <v>0</v>
      </c>
      <c r="AC242" s="20"/>
      <c r="AD242" s="20"/>
      <c r="AE242" s="20"/>
      <c r="AF242" s="20"/>
      <c r="AG242" s="20"/>
      <c r="AH242" s="22"/>
      <c r="AI242" s="23"/>
      <c r="AJ242" s="22"/>
      <c r="AK242" s="24" t="str">
        <f>IF(B242="","",AI242*Paramètres!$B$4+AJ242)</f>
        <v/>
      </c>
      <c r="AL242" s="25"/>
      <c r="AM242" s="25"/>
      <c r="AN242" s="27"/>
    </row>
    <row r="243" spans="1:40" ht="15">
      <c r="A243" s="16" t="str">
        <f t="shared" si="12"/>
        <v/>
      </c>
      <c r="B243" s="17"/>
      <c r="C243" s="16" t="str">
        <f t="shared" si="13"/>
        <v/>
      </c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9"/>
      <c r="R243" s="20"/>
      <c r="S243" s="20"/>
      <c r="T243" s="20"/>
      <c r="U243" s="20"/>
      <c r="V243" s="20"/>
      <c r="W243" s="20"/>
      <c r="X243" s="20"/>
      <c r="Y243" s="20"/>
      <c r="Z243" s="20"/>
      <c r="AA243" s="20" t="str">
        <f t="shared" si="14"/>
        <v/>
      </c>
      <c r="AB243" s="21">
        <f t="shared" si="15"/>
        <v>0</v>
      </c>
      <c r="AC243" s="20"/>
      <c r="AD243" s="20"/>
      <c r="AE243" s="20"/>
      <c r="AF243" s="20"/>
      <c r="AG243" s="20"/>
      <c r="AH243" s="22"/>
      <c r="AI243" s="23"/>
      <c r="AJ243" s="22"/>
      <c r="AK243" s="24" t="str">
        <f>IF(B243="","",AI243*Paramètres!$B$4+AJ243)</f>
        <v/>
      </c>
      <c r="AL243" s="25"/>
      <c r="AM243" s="25"/>
      <c r="AN243" s="27"/>
    </row>
    <row r="244" spans="1:40" ht="15">
      <c r="A244" s="16" t="str">
        <f t="shared" si="12"/>
        <v/>
      </c>
      <c r="B244" s="17"/>
      <c r="C244" s="16" t="str">
        <f t="shared" si="13"/>
        <v/>
      </c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9"/>
      <c r="R244" s="20"/>
      <c r="S244" s="20"/>
      <c r="T244" s="20"/>
      <c r="U244" s="20"/>
      <c r="V244" s="20"/>
      <c r="W244" s="20"/>
      <c r="X244" s="20"/>
      <c r="Y244" s="20"/>
      <c r="Z244" s="20"/>
      <c r="AA244" s="20" t="str">
        <f t="shared" si="14"/>
        <v/>
      </c>
      <c r="AB244" s="21">
        <f t="shared" si="15"/>
        <v>0</v>
      </c>
      <c r="AC244" s="20"/>
      <c r="AD244" s="20"/>
      <c r="AE244" s="20"/>
      <c r="AF244" s="20"/>
      <c r="AG244" s="20"/>
      <c r="AH244" s="22"/>
      <c r="AI244" s="23"/>
      <c r="AJ244" s="22"/>
      <c r="AK244" s="24" t="str">
        <f>IF(B244="","",AI244*Paramètres!$B$4+AJ244)</f>
        <v/>
      </c>
      <c r="AL244" s="25"/>
      <c r="AM244" s="25"/>
      <c r="AN244" s="27"/>
    </row>
    <row r="245" spans="1:40" ht="15">
      <c r="A245" s="16" t="str">
        <f t="shared" si="12"/>
        <v/>
      </c>
      <c r="B245" s="17"/>
      <c r="C245" s="16" t="str">
        <f t="shared" si="13"/>
        <v/>
      </c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9"/>
      <c r="R245" s="20"/>
      <c r="S245" s="20"/>
      <c r="T245" s="20"/>
      <c r="U245" s="20"/>
      <c r="V245" s="20"/>
      <c r="W245" s="20"/>
      <c r="X245" s="20"/>
      <c r="Y245" s="20"/>
      <c r="Z245" s="20"/>
      <c r="AA245" s="20" t="str">
        <f t="shared" si="14"/>
        <v/>
      </c>
      <c r="AB245" s="21">
        <f t="shared" si="15"/>
        <v>0</v>
      </c>
      <c r="AC245" s="20"/>
      <c r="AD245" s="20"/>
      <c r="AE245" s="20"/>
      <c r="AF245" s="20"/>
      <c r="AG245" s="20"/>
      <c r="AH245" s="22"/>
      <c r="AI245" s="23"/>
      <c r="AJ245" s="22"/>
      <c r="AK245" s="24" t="str">
        <f>IF(B245="","",AI245*Paramètres!$B$4+AJ245)</f>
        <v/>
      </c>
      <c r="AL245" s="25"/>
      <c r="AM245" s="25"/>
      <c r="AN245" s="27"/>
    </row>
    <row r="246" spans="1:40" ht="15">
      <c r="A246" s="16" t="str">
        <f t="shared" si="12"/>
        <v/>
      </c>
      <c r="B246" s="17"/>
      <c r="C246" s="16" t="str">
        <f t="shared" si="13"/>
        <v/>
      </c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9"/>
      <c r="R246" s="20"/>
      <c r="S246" s="20"/>
      <c r="T246" s="20"/>
      <c r="U246" s="20"/>
      <c r="V246" s="20"/>
      <c r="W246" s="20"/>
      <c r="X246" s="20"/>
      <c r="Y246" s="20"/>
      <c r="Z246" s="20"/>
      <c r="AA246" s="20" t="str">
        <f t="shared" si="14"/>
        <v/>
      </c>
      <c r="AB246" s="21">
        <f t="shared" si="15"/>
        <v>0</v>
      </c>
      <c r="AC246" s="20"/>
      <c r="AD246" s="20"/>
      <c r="AE246" s="20"/>
      <c r="AF246" s="20"/>
      <c r="AG246" s="20"/>
      <c r="AH246" s="22"/>
      <c r="AI246" s="23"/>
      <c r="AJ246" s="22"/>
      <c r="AK246" s="24" t="str">
        <f>IF(B246="","",AI246*Paramètres!$B$4+AJ246)</f>
        <v/>
      </c>
      <c r="AL246" s="25"/>
      <c r="AM246" s="25"/>
      <c r="AN246" s="27"/>
    </row>
    <row r="247" spans="1:40" ht="15">
      <c r="A247" s="16" t="str">
        <f t="shared" si="12"/>
        <v/>
      </c>
      <c r="B247" s="17"/>
      <c r="C247" s="16" t="str">
        <f t="shared" si="13"/>
        <v/>
      </c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9"/>
      <c r="R247" s="20"/>
      <c r="S247" s="20"/>
      <c r="T247" s="20"/>
      <c r="U247" s="20"/>
      <c r="V247" s="20"/>
      <c r="W247" s="20"/>
      <c r="X247" s="20"/>
      <c r="Y247" s="20"/>
      <c r="Z247" s="20"/>
      <c r="AA247" s="20" t="str">
        <f t="shared" si="14"/>
        <v/>
      </c>
      <c r="AB247" s="21">
        <f t="shared" si="15"/>
        <v>0</v>
      </c>
      <c r="AC247" s="20"/>
      <c r="AD247" s="20"/>
      <c r="AE247" s="20"/>
      <c r="AF247" s="20"/>
      <c r="AG247" s="20"/>
      <c r="AH247" s="22"/>
      <c r="AI247" s="23"/>
      <c r="AJ247" s="22"/>
      <c r="AK247" s="24" t="str">
        <f>IF(B247="","",AI247*Paramètres!$B$4+AJ247)</f>
        <v/>
      </c>
      <c r="AL247" s="25"/>
      <c r="AM247" s="25"/>
      <c r="AN247" s="27"/>
    </row>
    <row r="248" spans="1:40" ht="15">
      <c r="A248" s="16" t="str">
        <f t="shared" si="12"/>
        <v/>
      </c>
      <c r="B248" s="17"/>
      <c r="C248" s="16" t="str">
        <f t="shared" si="13"/>
        <v/>
      </c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9"/>
      <c r="R248" s="20"/>
      <c r="S248" s="20"/>
      <c r="T248" s="20"/>
      <c r="U248" s="20"/>
      <c r="V248" s="20"/>
      <c r="W248" s="20"/>
      <c r="X248" s="20"/>
      <c r="Y248" s="20"/>
      <c r="Z248" s="20"/>
      <c r="AA248" s="20" t="str">
        <f t="shared" si="14"/>
        <v/>
      </c>
      <c r="AB248" s="21">
        <f t="shared" si="15"/>
        <v>0</v>
      </c>
      <c r="AC248" s="20"/>
      <c r="AD248" s="20"/>
      <c r="AE248" s="20"/>
      <c r="AF248" s="20"/>
      <c r="AG248" s="20"/>
      <c r="AH248" s="22"/>
      <c r="AI248" s="23"/>
      <c r="AJ248" s="22"/>
      <c r="AK248" s="24" t="str">
        <f>IF(B248="","",AI248*Paramètres!$B$4+AJ248)</f>
        <v/>
      </c>
      <c r="AL248" s="25"/>
      <c r="AM248" s="25"/>
      <c r="AN248" s="27"/>
    </row>
    <row r="249" spans="1:40" ht="15">
      <c r="A249" s="16" t="str">
        <f t="shared" si="12"/>
        <v/>
      </c>
      <c r="B249" s="17"/>
      <c r="C249" s="16" t="str">
        <f t="shared" si="13"/>
        <v/>
      </c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9"/>
      <c r="R249" s="20"/>
      <c r="S249" s="20"/>
      <c r="T249" s="20"/>
      <c r="U249" s="20"/>
      <c r="V249" s="20"/>
      <c r="W249" s="20"/>
      <c r="X249" s="20"/>
      <c r="Y249" s="20"/>
      <c r="Z249" s="20"/>
      <c r="AA249" s="20" t="str">
        <f t="shared" si="14"/>
        <v/>
      </c>
      <c r="AB249" s="21">
        <f t="shared" si="15"/>
        <v>0</v>
      </c>
      <c r="AC249" s="20"/>
      <c r="AD249" s="20"/>
      <c r="AE249" s="20"/>
      <c r="AF249" s="20"/>
      <c r="AG249" s="20"/>
      <c r="AH249" s="22"/>
      <c r="AI249" s="23"/>
      <c r="AJ249" s="22"/>
      <c r="AK249" s="24" t="str">
        <f>IF(B249="","",AI249*Paramètres!$B$4+AJ249)</f>
        <v/>
      </c>
      <c r="AL249" s="25"/>
      <c r="AM249" s="25"/>
      <c r="AN249" s="27"/>
    </row>
    <row r="250" spans="1:40" ht="15">
      <c r="A250" s="16" t="str">
        <f t="shared" si="12"/>
        <v/>
      </c>
      <c r="B250" s="17"/>
      <c r="C250" s="16" t="str">
        <f t="shared" si="13"/>
        <v/>
      </c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9"/>
      <c r="R250" s="20"/>
      <c r="S250" s="20"/>
      <c r="T250" s="20"/>
      <c r="U250" s="20"/>
      <c r="V250" s="20"/>
      <c r="W250" s="20"/>
      <c r="X250" s="20"/>
      <c r="Y250" s="20"/>
      <c r="Z250" s="20"/>
      <c r="AA250" s="20" t="str">
        <f t="shared" si="14"/>
        <v/>
      </c>
      <c r="AB250" s="21">
        <f t="shared" si="15"/>
        <v>0</v>
      </c>
      <c r="AC250" s="20"/>
      <c r="AD250" s="20"/>
      <c r="AE250" s="20"/>
      <c r="AF250" s="20"/>
      <c r="AG250" s="20"/>
      <c r="AH250" s="22"/>
      <c r="AI250" s="23"/>
      <c r="AJ250" s="22"/>
      <c r="AK250" s="24" t="str">
        <f>IF(B250="","",AI250*Paramètres!$B$4+AJ250)</f>
        <v/>
      </c>
      <c r="AL250" s="25"/>
      <c r="AM250" s="25"/>
      <c r="AN250" s="27"/>
    </row>
    <row r="251" spans="1:40" ht="15">
      <c r="A251" s="16" t="str">
        <f t="shared" si="12"/>
        <v/>
      </c>
      <c r="B251" s="17"/>
      <c r="C251" s="16" t="str">
        <f t="shared" si="13"/>
        <v/>
      </c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9"/>
      <c r="R251" s="20"/>
      <c r="S251" s="20"/>
      <c r="T251" s="20"/>
      <c r="U251" s="20"/>
      <c r="V251" s="20"/>
      <c r="W251" s="20"/>
      <c r="X251" s="20"/>
      <c r="Y251" s="20"/>
      <c r="Z251" s="20"/>
      <c r="AA251" s="20" t="str">
        <f t="shared" si="14"/>
        <v/>
      </c>
      <c r="AB251" s="21">
        <f t="shared" si="15"/>
        <v>0</v>
      </c>
      <c r="AC251" s="20"/>
      <c r="AD251" s="20"/>
      <c r="AE251" s="20"/>
      <c r="AF251" s="20"/>
      <c r="AG251" s="20"/>
      <c r="AH251" s="22"/>
      <c r="AI251" s="23"/>
      <c r="AJ251" s="22"/>
      <c r="AK251" s="24" t="str">
        <f>IF(B251="","",AI251*Paramètres!$B$4+AJ251)</f>
        <v/>
      </c>
      <c r="AL251" s="25"/>
      <c r="AM251" s="25"/>
      <c r="AN251" s="27"/>
    </row>
    <row r="252" spans="1:40" ht="15">
      <c r="A252" s="16" t="str">
        <f t="shared" si="12"/>
        <v/>
      </c>
      <c r="B252" s="17"/>
      <c r="C252" s="16" t="str">
        <f t="shared" si="13"/>
        <v/>
      </c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9"/>
      <c r="R252" s="20"/>
      <c r="S252" s="20"/>
      <c r="T252" s="20"/>
      <c r="U252" s="20"/>
      <c r="V252" s="20"/>
      <c r="W252" s="20"/>
      <c r="X252" s="20"/>
      <c r="Y252" s="20"/>
      <c r="Z252" s="20"/>
      <c r="AA252" s="20" t="str">
        <f t="shared" si="14"/>
        <v/>
      </c>
      <c r="AB252" s="21">
        <f t="shared" si="15"/>
        <v>0</v>
      </c>
      <c r="AC252" s="20"/>
      <c r="AD252" s="20"/>
      <c r="AE252" s="20"/>
      <c r="AF252" s="20"/>
      <c r="AG252" s="20"/>
      <c r="AH252" s="22"/>
      <c r="AI252" s="23"/>
      <c r="AJ252" s="22"/>
      <c r="AK252" s="24" t="str">
        <f>IF(B252="","",AI252*Paramètres!$B$4+AJ252)</f>
        <v/>
      </c>
      <c r="AL252" s="25"/>
      <c r="AM252" s="25"/>
      <c r="AN252" s="27"/>
    </row>
    <row r="253" spans="1:40" ht="15">
      <c r="A253" s="16" t="str">
        <f t="shared" si="12"/>
        <v/>
      </c>
      <c r="B253" s="17"/>
      <c r="C253" s="16" t="str">
        <f t="shared" si="13"/>
        <v/>
      </c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9"/>
      <c r="R253" s="20"/>
      <c r="S253" s="20"/>
      <c r="T253" s="20"/>
      <c r="U253" s="20"/>
      <c r="V253" s="20"/>
      <c r="W253" s="20"/>
      <c r="X253" s="20"/>
      <c r="Y253" s="20"/>
      <c r="Z253" s="20"/>
      <c r="AA253" s="20" t="str">
        <f t="shared" si="14"/>
        <v/>
      </c>
      <c r="AB253" s="21">
        <f t="shared" si="15"/>
        <v>0</v>
      </c>
      <c r="AC253" s="20"/>
      <c r="AD253" s="20"/>
      <c r="AE253" s="20"/>
      <c r="AF253" s="20"/>
      <c r="AG253" s="20"/>
      <c r="AH253" s="22"/>
      <c r="AI253" s="23"/>
      <c r="AJ253" s="22"/>
      <c r="AK253" s="24" t="str">
        <f>IF(B253="","",AI253*Paramètres!$B$4+AJ253)</f>
        <v/>
      </c>
      <c r="AL253" s="25"/>
      <c r="AM253" s="25"/>
      <c r="AN253" s="27"/>
    </row>
    <row r="254" spans="1:40" ht="15">
      <c r="A254" s="16" t="str">
        <f t="shared" si="12"/>
        <v/>
      </c>
      <c r="B254" s="17"/>
      <c r="C254" s="16" t="str">
        <f t="shared" si="13"/>
        <v/>
      </c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9"/>
      <c r="R254" s="20"/>
      <c r="S254" s="20"/>
      <c r="T254" s="20"/>
      <c r="U254" s="20"/>
      <c r="V254" s="20"/>
      <c r="W254" s="20"/>
      <c r="X254" s="20"/>
      <c r="Y254" s="20"/>
      <c r="Z254" s="20"/>
      <c r="AA254" s="20" t="str">
        <f t="shared" si="14"/>
        <v/>
      </c>
      <c r="AB254" s="21">
        <f t="shared" si="15"/>
        <v>0</v>
      </c>
      <c r="AC254" s="20"/>
      <c r="AD254" s="20"/>
      <c r="AE254" s="20"/>
      <c r="AF254" s="20"/>
      <c r="AG254" s="20"/>
      <c r="AH254" s="22"/>
      <c r="AI254" s="23"/>
      <c r="AJ254" s="22"/>
      <c r="AK254" s="24" t="str">
        <f>IF(B254="","",AI254*Paramètres!$B$4+AJ254)</f>
        <v/>
      </c>
      <c r="AL254" s="25"/>
      <c r="AM254" s="25"/>
      <c r="AN254" s="27"/>
    </row>
    <row r="255" spans="1:40" ht="15">
      <c r="A255" s="16" t="str">
        <f t="shared" si="12"/>
        <v/>
      </c>
      <c r="B255" s="17"/>
      <c r="C255" s="16" t="str">
        <f t="shared" si="13"/>
        <v/>
      </c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9"/>
      <c r="R255" s="20"/>
      <c r="S255" s="20"/>
      <c r="T255" s="20"/>
      <c r="U255" s="20"/>
      <c r="V255" s="20"/>
      <c r="W255" s="20"/>
      <c r="X255" s="20"/>
      <c r="Y255" s="20"/>
      <c r="Z255" s="20"/>
      <c r="AA255" s="20" t="str">
        <f t="shared" si="14"/>
        <v/>
      </c>
      <c r="AB255" s="21">
        <f t="shared" si="15"/>
        <v>0</v>
      </c>
      <c r="AC255" s="20"/>
      <c r="AD255" s="20"/>
      <c r="AE255" s="20"/>
      <c r="AF255" s="20"/>
      <c r="AG255" s="20"/>
      <c r="AH255" s="22"/>
      <c r="AI255" s="23"/>
      <c r="AJ255" s="22"/>
      <c r="AK255" s="24" t="str">
        <f>IF(B255="","",AI255*Paramètres!$B$4+AJ255)</f>
        <v/>
      </c>
      <c r="AL255" s="25"/>
      <c r="AM255" s="25"/>
      <c r="AN255" s="27"/>
    </row>
    <row r="256" spans="1:40" ht="15">
      <c r="A256" s="16" t="str">
        <f t="shared" si="12"/>
        <v/>
      </c>
      <c r="B256" s="17"/>
      <c r="C256" s="16" t="str">
        <f t="shared" si="13"/>
        <v/>
      </c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9"/>
      <c r="R256" s="20"/>
      <c r="S256" s="20"/>
      <c r="T256" s="20"/>
      <c r="U256" s="20"/>
      <c r="V256" s="20"/>
      <c r="W256" s="20"/>
      <c r="X256" s="20"/>
      <c r="Y256" s="20"/>
      <c r="Z256" s="20"/>
      <c r="AA256" s="20" t="str">
        <f t="shared" si="14"/>
        <v/>
      </c>
      <c r="AB256" s="21">
        <f t="shared" si="15"/>
        <v>0</v>
      </c>
      <c r="AC256" s="20"/>
      <c r="AD256" s="20"/>
      <c r="AE256" s="20"/>
      <c r="AF256" s="20"/>
      <c r="AG256" s="20"/>
      <c r="AH256" s="22"/>
      <c r="AI256" s="23"/>
      <c r="AJ256" s="22"/>
      <c r="AK256" s="24" t="str">
        <f>IF(B256="","",AI256*Paramètres!$B$4+AJ256)</f>
        <v/>
      </c>
      <c r="AL256" s="25"/>
      <c r="AM256" s="25"/>
      <c r="AN256" s="27"/>
    </row>
    <row r="257" spans="1:40" ht="15">
      <c r="A257" s="16" t="str">
        <f t="shared" si="12"/>
        <v/>
      </c>
      <c r="B257" s="17"/>
      <c r="C257" s="16" t="str">
        <f t="shared" si="13"/>
        <v/>
      </c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9"/>
      <c r="R257" s="20"/>
      <c r="S257" s="20"/>
      <c r="T257" s="20"/>
      <c r="U257" s="20"/>
      <c r="V257" s="20"/>
      <c r="W257" s="20"/>
      <c r="X257" s="20"/>
      <c r="Y257" s="20"/>
      <c r="Z257" s="20"/>
      <c r="AA257" s="20" t="str">
        <f t="shared" si="14"/>
        <v/>
      </c>
      <c r="AB257" s="21">
        <f t="shared" si="15"/>
        <v>0</v>
      </c>
      <c r="AC257" s="20"/>
      <c r="AD257" s="20"/>
      <c r="AE257" s="20"/>
      <c r="AF257" s="20"/>
      <c r="AG257" s="20"/>
      <c r="AH257" s="22"/>
      <c r="AI257" s="23"/>
      <c r="AJ257" s="22"/>
      <c r="AK257" s="24" t="str">
        <f>IF(B257="","",AI257*Paramètres!$B$4+AJ257)</f>
        <v/>
      </c>
      <c r="AL257" s="25"/>
      <c r="AM257" s="25"/>
      <c r="AN257" s="27"/>
    </row>
    <row r="258" spans="1:40" ht="15">
      <c r="A258" s="16" t="str">
        <f t="shared" si="12"/>
        <v/>
      </c>
      <c r="B258" s="17"/>
      <c r="C258" s="16" t="str">
        <f t="shared" si="13"/>
        <v/>
      </c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9"/>
      <c r="R258" s="20"/>
      <c r="S258" s="20"/>
      <c r="T258" s="20"/>
      <c r="U258" s="20"/>
      <c r="V258" s="20"/>
      <c r="W258" s="20"/>
      <c r="X258" s="20"/>
      <c r="Y258" s="20"/>
      <c r="Z258" s="20"/>
      <c r="AA258" s="20" t="str">
        <f t="shared" si="14"/>
        <v/>
      </c>
      <c r="AB258" s="21">
        <f t="shared" si="15"/>
        <v>0</v>
      </c>
      <c r="AC258" s="20"/>
      <c r="AD258" s="20"/>
      <c r="AE258" s="20"/>
      <c r="AF258" s="20"/>
      <c r="AG258" s="20"/>
      <c r="AH258" s="22"/>
      <c r="AI258" s="23"/>
      <c r="AJ258" s="22"/>
      <c r="AK258" s="24" t="str">
        <f>IF(B258="","",AI258*Paramètres!$B$4+AJ258)</f>
        <v/>
      </c>
      <c r="AL258" s="25"/>
      <c r="AM258" s="25"/>
      <c r="AN258" s="27"/>
    </row>
    <row r="259" spans="1:40" ht="15">
      <c r="A259" s="16" t="str">
        <f t="shared" si="12"/>
        <v/>
      </c>
      <c r="B259" s="17"/>
      <c r="C259" s="16" t="str">
        <f t="shared" si="13"/>
        <v/>
      </c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9"/>
      <c r="R259" s="20"/>
      <c r="S259" s="20"/>
      <c r="T259" s="20"/>
      <c r="U259" s="20"/>
      <c r="V259" s="20"/>
      <c r="W259" s="20"/>
      <c r="X259" s="20"/>
      <c r="Y259" s="20"/>
      <c r="Z259" s="20"/>
      <c r="AA259" s="20" t="str">
        <f t="shared" si="14"/>
        <v/>
      </c>
      <c r="AB259" s="21">
        <f t="shared" si="15"/>
        <v>0</v>
      </c>
      <c r="AC259" s="20"/>
      <c r="AD259" s="20"/>
      <c r="AE259" s="20"/>
      <c r="AF259" s="20"/>
      <c r="AG259" s="20"/>
      <c r="AH259" s="22"/>
      <c r="AI259" s="23"/>
      <c r="AJ259" s="22"/>
      <c r="AK259" s="24" t="str">
        <f>IF(B259="","",AI259*Paramètres!$B$4+AJ259)</f>
        <v/>
      </c>
      <c r="AL259" s="25"/>
      <c r="AM259" s="25"/>
      <c r="AN259" s="27"/>
    </row>
    <row r="260" spans="1:40" ht="15">
      <c r="A260" s="16" t="str">
        <f t="shared" si="12"/>
        <v/>
      </c>
      <c r="B260" s="17"/>
      <c r="C260" s="16" t="str">
        <f t="shared" si="13"/>
        <v/>
      </c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9"/>
      <c r="R260" s="20"/>
      <c r="S260" s="20"/>
      <c r="T260" s="20"/>
      <c r="U260" s="20"/>
      <c r="V260" s="20"/>
      <c r="W260" s="20"/>
      <c r="X260" s="20"/>
      <c r="Y260" s="20"/>
      <c r="Z260" s="20"/>
      <c r="AA260" s="20" t="str">
        <f t="shared" si="14"/>
        <v/>
      </c>
      <c r="AB260" s="21">
        <f t="shared" si="15"/>
        <v>0</v>
      </c>
      <c r="AC260" s="20"/>
      <c r="AD260" s="20"/>
      <c r="AE260" s="20"/>
      <c r="AF260" s="20"/>
      <c r="AG260" s="20"/>
      <c r="AH260" s="22"/>
      <c r="AI260" s="23"/>
      <c r="AJ260" s="22"/>
      <c r="AK260" s="24" t="str">
        <f>IF(B260="","",AI260*Paramètres!$B$4+AJ260)</f>
        <v/>
      </c>
      <c r="AL260" s="25"/>
      <c r="AM260" s="25"/>
      <c r="AN260" s="27"/>
    </row>
    <row r="261" spans="1:40" ht="15">
      <c r="A261" s="16" t="str">
        <f t="shared" si="12"/>
        <v/>
      </c>
      <c r="B261" s="17"/>
      <c r="C261" s="16" t="str">
        <f t="shared" si="13"/>
        <v/>
      </c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9"/>
      <c r="R261" s="20"/>
      <c r="S261" s="20"/>
      <c r="T261" s="20"/>
      <c r="U261" s="20"/>
      <c r="V261" s="20"/>
      <c r="W261" s="20"/>
      <c r="X261" s="20"/>
      <c r="Y261" s="20"/>
      <c r="Z261" s="20"/>
      <c r="AA261" s="20" t="str">
        <f t="shared" si="14"/>
        <v/>
      </c>
      <c r="AB261" s="21">
        <f t="shared" si="15"/>
        <v>0</v>
      </c>
      <c r="AC261" s="20"/>
      <c r="AD261" s="20"/>
      <c r="AE261" s="20"/>
      <c r="AF261" s="20"/>
      <c r="AG261" s="20"/>
      <c r="AH261" s="22"/>
      <c r="AI261" s="23"/>
      <c r="AJ261" s="22"/>
      <c r="AK261" s="24" t="str">
        <f>IF(B261="","",AI261*Paramètres!$B$4+AJ261)</f>
        <v/>
      </c>
      <c r="AL261" s="25"/>
      <c r="AM261" s="25"/>
      <c r="AN261" s="27"/>
    </row>
    <row r="262" spans="1:40" ht="15">
      <c r="A262" s="16" t="str">
        <f t="shared" ref="A262:A325" si="16">IF(B262="","",ROW()-5)</f>
        <v/>
      </c>
      <c r="B262" s="17"/>
      <c r="C262" s="16" t="str">
        <f t="shared" ref="C262:C325" si="17">IF(B262="","",CHOOSE(MONTH(B262),"Janvier","Février","Mars","Avril","Mai","Juin","Juillet","Août","Septembre","Octobre","Novembre","Décembre"))</f>
        <v/>
      </c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9"/>
      <c r="R262" s="20"/>
      <c r="S262" s="20"/>
      <c r="T262" s="20"/>
      <c r="U262" s="20"/>
      <c r="V262" s="20"/>
      <c r="W262" s="20"/>
      <c r="X262" s="20"/>
      <c r="Y262" s="20"/>
      <c r="Z262" s="20"/>
      <c r="AA262" s="20" t="str">
        <f t="shared" ref="AA262:AA325" si="18">IF(B262="","",SUM(W262:Z262))</f>
        <v/>
      </c>
      <c r="AB262" s="21">
        <f t="shared" ref="AB262:AB325" si="19">IFERROR(AA262/T262,0)</f>
        <v>0</v>
      </c>
      <c r="AC262" s="20"/>
      <c r="AD262" s="20"/>
      <c r="AE262" s="20"/>
      <c r="AF262" s="20"/>
      <c r="AG262" s="20"/>
      <c r="AH262" s="22"/>
      <c r="AI262" s="23"/>
      <c r="AJ262" s="22"/>
      <c r="AK262" s="24" t="str">
        <f>IF(B262="","",AI262*Paramètres!$B$4+AJ262)</f>
        <v/>
      </c>
      <c r="AL262" s="25"/>
      <c r="AM262" s="25"/>
      <c r="AN262" s="27"/>
    </row>
    <row r="263" spans="1:40" ht="15">
      <c r="A263" s="16" t="str">
        <f t="shared" si="16"/>
        <v/>
      </c>
      <c r="B263" s="17"/>
      <c r="C263" s="16" t="str">
        <f t="shared" si="17"/>
        <v/>
      </c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9"/>
      <c r="R263" s="20"/>
      <c r="S263" s="20"/>
      <c r="T263" s="20"/>
      <c r="U263" s="20"/>
      <c r="V263" s="20"/>
      <c r="W263" s="20"/>
      <c r="X263" s="20"/>
      <c r="Y263" s="20"/>
      <c r="Z263" s="20"/>
      <c r="AA263" s="20" t="str">
        <f t="shared" si="18"/>
        <v/>
      </c>
      <c r="AB263" s="21">
        <f t="shared" si="19"/>
        <v>0</v>
      </c>
      <c r="AC263" s="20"/>
      <c r="AD263" s="20"/>
      <c r="AE263" s="20"/>
      <c r="AF263" s="20"/>
      <c r="AG263" s="20"/>
      <c r="AH263" s="22"/>
      <c r="AI263" s="23"/>
      <c r="AJ263" s="22"/>
      <c r="AK263" s="24" t="str">
        <f>IF(B263="","",AI263*Paramètres!$B$4+AJ263)</f>
        <v/>
      </c>
      <c r="AL263" s="25"/>
      <c r="AM263" s="25"/>
      <c r="AN263" s="27"/>
    </row>
    <row r="264" spans="1:40" ht="15">
      <c r="A264" s="16" t="str">
        <f t="shared" si="16"/>
        <v/>
      </c>
      <c r="B264" s="17"/>
      <c r="C264" s="16" t="str">
        <f t="shared" si="17"/>
        <v/>
      </c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9"/>
      <c r="R264" s="20"/>
      <c r="S264" s="20"/>
      <c r="T264" s="20"/>
      <c r="U264" s="20"/>
      <c r="V264" s="20"/>
      <c r="W264" s="20"/>
      <c r="X264" s="20"/>
      <c r="Y264" s="20"/>
      <c r="Z264" s="20"/>
      <c r="AA264" s="20" t="str">
        <f t="shared" si="18"/>
        <v/>
      </c>
      <c r="AB264" s="21">
        <f t="shared" si="19"/>
        <v>0</v>
      </c>
      <c r="AC264" s="20"/>
      <c r="AD264" s="20"/>
      <c r="AE264" s="20"/>
      <c r="AF264" s="20"/>
      <c r="AG264" s="20"/>
      <c r="AH264" s="22"/>
      <c r="AI264" s="23"/>
      <c r="AJ264" s="22"/>
      <c r="AK264" s="24" t="str">
        <f>IF(B264="","",AI264*Paramètres!$B$4+AJ264)</f>
        <v/>
      </c>
      <c r="AL264" s="25"/>
      <c r="AM264" s="25"/>
      <c r="AN264" s="27"/>
    </row>
    <row r="265" spans="1:40" ht="15">
      <c r="A265" s="16" t="str">
        <f t="shared" si="16"/>
        <v/>
      </c>
      <c r="B265" s="17"/>
      <c r="C265" s="16" t="str">
        <f t="shared" si="17"/>
        <v/>
      </c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9"/>
      <c r="R265" s="20"/>
      <c r="S265" s="20"/>
      <c r="T265" s="20"/>
      <c r="U265" s="20"/>
      <c r="V265" s="20"/>
      <c r="W265" s="20"/>
      <c r="X265" s="20"/>
      <c r="Y265" s="20"/>
      <c r="Z265" s="20"/>
      <c r="AA265" s="20" t="str">
        <f t="shared" si="18"/>
        <v/>
      </c>
      <c r="AB265" s="21">
        <f t="shared" si="19"/>
        <v>0</v>
      </c>
      <c r="AC265" s="20"/>
      <c r="AD265" s="20"/>
      <c r="AE265" s="20"/>
      <c r="AF265" s="20"/>
      <c r="AG265" s="20"/>
      <c r="AH265" s="22"/>
      <c r="AI265" s="23"/>
      <c r="AJ265" s="22"/>
      <c r="AK265" s="24" t="str">
        <f>IF(B265="","",AI265*Paramètres!$B$4+AJ265)</f>
        <v/>
      </c>
      <c r="AL265" s="25"/>
      <c r="AM265" s="25"/>
      <c r="AN265" s="27"/>
    </row>
    <row r="266" spans="1:40" ht="15">
      <c r="A266" s="16" t="str">
        <f t="shared" si="16"/>
        <v/>
      </c>
      <c r="B266" s="17"/>
      <c r="C266" s="16" t="str">
        <f t="shared" si="17"/>
        <v/>
      </c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9"/>
      <c r="R266" s="20"/>
      <c r="S266" s="20"/>
      <c r="T266" s="20"/>
      <c r="U266" s="20"/>
      <c r="V266" s="20"/>
      <c r="W266" s="20"/>
      <c r="X266" s="20"/>
      <c r="Y266" s="20"/>
      <c r="Z266" s="20"/>
      <c r="AA266" s="20" t="str">
        <f t="shared" si="18"/>
        <v/>
      </c>
      <c r="AB266" s="21">
        <f t="shared" si="19"/>
        <v>0</v>
      </c>
      <c r="AC266" s="20"/>
      <c r="AD266" s="20"/>
      <c r="AE266" s="20"/>
      <c r="AF266" s="20"/>
      <c r="AG266" s="20"/>
      <c r="AH266" s="22"/>
      <c r="AI266" s="23"/>
      <c r="AJ266" s="22"/>
      <c r="AK266" s="24" t="str">
        <f>IF(B266="","",AI266*Paramètres!$B$4+AJ266)</f>
        <v/>
      </c>
      <c r="AL266" s="25"/>
      <c r="AM266" s="25"/>
      <c r="AN266" s="27"/>
    </row>
    <row r="267" spans="1:40" ht="15">
      <c r="A267" s="16" t="str">
        <f t="shared" si="16"/>
        <v/>
      </c>
      <c r="B267" s="17"/>
      <c r="C267" s="16" t="str">
        <f t="shared" si="17"/>
        <v/>
      </c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9"/>
      <c r="R267" s="20"/>
      <c r="S267" s="20"/>
      <c r="T267" s="20"/>
      <c r="U267" s="20"/>
      <c r="V267" s="20"/>
      <c r="W267" s="20"/>
      <c r="X267" s="20"/>
      <c r="Y267" s="20"/>
      <c r="Z267" s="20"/>
      <c r="AA267" s="20" t="str">
        <f t="shared" si="18"/>
        <v/>
      </c>
      <c r="AB267" s="21">
        <f t="shared" si="19"/>
        <v>0</v>
      </c>
      <c r="AC267" s="20"/>
      <c r="AD267" s="20"/>
      <c r="AE267" s="20"/>
      <c r="AF267" s="20"/>
      <c r="AG267" s="20"/>
      <c r="AH267" s="22"/>
      <c r="AI267" s="23"/>
      <c r="AJ267" s="22"/>
      <c r="AK267" s="24" t="str">
        <f>IF(B267="","",AI267*Paramètres!$B$4+AJ267)</f>
        <v/>
      </c>
      <c r="AL267" s="25"/>
      <c r="AM267" s="25"/>
      <c r="AN267" s="27"/>
    </row>
    <row r="268" spans="1:40" ht="15">
      <c r="A268" s="16" t="str">
        <f t="shared" si="16"/>
        <v/>
      </c>
      <c r="B268" s="17"/>
      <c r="C268" s="16" t="str">
        <f t="shared" si="17"/>
        <v/>
      </c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9"/>
      <c r="R268" s="20"/>
      <c r="S268" s="20"/>
      <c r="T268" s="20"/>
      <c r="U268" s="20"/>
      <c r="V268" s="20"/>
      <c r="W268" s="20"/>
      <c r="X268" s="20"/>
      <c r="Y268" s="20"/>
      <c r="Z268" s="20"/>
      <c r="AA268" s="20" t="str">
        <f t="shared" si="18"/>
        <v/>
      </c>
      <c r="AB268" s="21">
        <f t="shared" si="19"/>
        <v>0</v>
      </c>
      <c r="AC268" s="20"/>
      <c r="AD268" s="20"/>
      <c r="AE268" s="20"/>
      <c r="AF268" s="20"/>
      <c r="AG268" s="20"/>
      <c r="AH268" s="22"/>
      <c r="AI268" s="23"/>
      <c r="AJ268" s="22"/>
      <c r="AK268" s="24" t="str">
        <f>IF(B268="","",AI268*Paramètres!$B$4+AJ268)</f>
        <v/>
      </c>
      <c r="AL268" s="25"/>
      <c r="AM268" s="25"/>
      <c r="AN268" s="27"/>
    </row>
    <row r="269" spans="1:40" ht="15">
      <c r="A269" s="16" t="str">
        <f t="shared" si="16"/>
        <v/>
      </c>
      <c r="B269" s="17"/>
      <c r="C269" s="16" t="str">
        <f t="shared" si="17"/>
        <v/>
      </c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9"/>
      <c r="R269" s="20"/>
      <c r="S269" s="20"/>
      <c r="T269" s="20"/>
      <c r="U269" s="20"/>
      <c r="V269" s="20"/>
      <c r="W269" s="20"/>
      <c r="X269" s="20"/>
      <c r="Y269" s="20"/>
      <c r="Z269" s="20"/>
      <c r="AA269" s="20" t="str">
        <f t="shared" si="18"/>
        <v/>
      </c>
      <c r="AB269" s="21">
        <f t="shared" si="19"/>
        <v>0</v>
      </c>
      <c r="AC269" s="20"/>
      <c r="AD269" s="20"/>
      <c r="AE269" s="20"/>
      <c r="AF269" s="20"/>
      <c r="AG269" s="20"/>
      <c r="AH269" s="22"/>
      <c r="AI269" s="23"/>
      <c r="AJ269" s="22"/>
      <c r="AK269" s="24" t="str">
        <f>IF(B269="","",AI269*Paramètres!$B$4+AJ269)</f>
        <v/>
      </c>
      <c r="AL269" s="25"/>
      <c r="AM269" s="25"/>
      <c r="AN269" s="27"/>
    </row>
    <row r="270" spans="1:40" ht="15">
      <c r="A270" s="16" t="str">
        <f t="shared" si="16"/>
        <v/>
      </c>
      <c r="B270" s="17"/>
      <c r="C270" s="16" t="str">
        <f t="shared" si="17"/>
        <v/>
      </c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9"/>
      <c r="R270" s="20"/>
      <c r="S270" s="20"/>
      <c r="T270" s="20"/>
      <c r="U270" s="20"/>
      <c r="V270" s="20"/>
      <c r="W270" s="20"/>
      <c r="X270" s="20"/>
      <c r="Y270" s="20"/>
      <c r="Z270" s="20"/>
      <c r="AA270" s="20" t="str">
        <f t="shared" si="18"/>
        <v/>
      </c>
      <c r="AB270" s="21">
        <f t="shared" si="19"/>
        <v>0</v>
      </c>
      <c r="AC270" s="20"/>
      <c r="AD270" s="20"/>
      <c r="AE270" s="20"/>
      <c r="AF270" s="20"/>
      <c r="AG270" s="20"/>
      <c r="AH270" s="22"/>
      <c r="AI270" s="23"/>
      <c r="AJ270" s="22"/>
      <c r="AK270" s="24" t="str">
        <f>IF(B270="","",AI270*Paramètres!$B$4+AJ270)</f>
        <v/>
      </c>
      <c r="AL270" s="25"/>
      <c r="AM270" s="25"/>
      <c r="AN270" s="27"/>
    </row>
    <row r="271" spans="1:40" ht="15">
      <c r="A271" s="16" t="str">
        <f t="shared" si="16"/>
        <v/>
      </c>
      <c r="B271" s="17"/>
      <c r="C271" s="16" t="str">
        <f t="shared" si="17"/>
        <v/>
      </c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9"/>
      <c r="R271" s="20"/>
      <c r="S271" s="20"/>
      <c r="T271" s="20"/>
      <c r="U271" s="20"/>
      <c r="V271" s="20"/>
      <c r="W271" s="20"/>
      <c r="X271" s="20"/>
      <c r="Y271" s="20"/>
      <c r="Z271" s="20"/>
      <c r="AA271" s="20" t="str">
        <f t="shared" si="18"/>
        <v/>
      </c>
      <c r="AB271" s="21">
        <f t="shared" si="19"/>
        <v>0</v>
      </c>
      <c r="AC271" s="20"/>
      <c r="AD271" s="20"/>
      <c r="AE271" s="20"/>
      <c r="AF271" s="20"/>
      <c r="AG271" s="20"/>
      <c r="AH271" s="22"/>
      <c r="AI271" s="23"/>
      <c r="AJ271" s="22"/>
      <c r="AK271" s="24" t="str">
        <f>IF(B271="","",AI271*Paramètres!$B$4+AJ271)</f>
        <v/>
      </c>
      <c r="AL271" s="25"/>
      <c r="AM271" s="25"/>
      <c r="AN271" s="27"/>
    </row>
    <row r="272" spans="1:40" ht="15">
      <c r="A272" s="16" t="str">
        <f t="shared" si="16"/>
        <v/>
      </c>
      <c r="B272" s="17"/>
      <c r="C272" s="16" t="str">
        <f t="shared" si="17"/>
        <v/>
      </c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9"/>
      <c r="R272" s="20"/>
      <c r="S272" s="20"/>
      <c r="T272" s="20"/>
      <c r="U272" s="20"/>
      <c r="V272" s="20"/>
      <c r="W272" s="20"/>
      <c r="X272" s="20"/>
      <c r="Y272" s="20"/>
      <c r="Z272" s="20"/>
      <c r="AA272" s="20" t="str">
        <f t="shared" si="18"/>
        <v/>
      </c>
      <c r="AB272" s="21">
        <f t="shared" si="19"/>
        <v>0</v>
      </c>
      <c r="AC272" s="20"/>
      <c r="AD272" s="20"/>
      <c r="AE272" s="20"/>
      <c r="AF272" s="20"/>
      <c r="AG272" s="20"/>
      <c r="AH272" s="22"/>
      <c r="AI272" s="23"/>
      <c r="AJ272" s="22"/>
      <c r="AK272" s="24" t="str">
        <f>IF(B272="","",AI272*Paramètres!$B$4+AJ272)</f>
        <v/>
      </c>
      <c r="AL272" s="25"/>
      <c r="AM272" s="25"/>
      <c r="AN272" s="27"/>
    </row>
    <row r="273" spans="1:40" ht="15">
      <c r="A273" s="16" t="str">
        <f t="shared" si="16"/>
        <v/>
      </c>
      <c r="B273" s="17"/>
      <c r="C273" s="16" t="str">
        <f t="shared" si="17"/>
        <v/>
      </c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9"/>
      <c r="R273" s="20"/>
      <c r="S273" s="20"/>
      <c r="T273" s="20"/>
      <c r="U273" s="20"/>
      <c r="V273" s="20"/>
      <c r="W273" s="20"/>
      <c r="X273" s="20"/>
      <c r="Y273" s="20"/>
      <c r="Z273" s="20"/>
      <c r="AA273" s="20" t="str">
        <f t="shared" si="18"/>
        <v/>
      </c>
      <c r="AB273" s="21">
        <f t="shared" si="19"/>
        <v>0</v>
      </c>
      <c r="AC273" s="20"/>
      <c r="AD273" s="20"/>
      <c r="AE273" s="20"/>
      <c r="AF273" s="20"/>
      <c r="AG273" s="20"/>
      <c r="AH273" s="22"/>
      <c r="AI273" s="23"/>
      <c r="AJ273" s="22"/>
      <c r="AK273" s="24" t="str">
        <f>IF(B273="","",AI273*Paramètres!$B$4+AJ273)</f>
        <v/>
      </c>
      <c r="AL273" s="25"/>
      <c r="AM273" s="25"/>
      <c r="AN273" s="27"/>
    </row>
    <row r="274" spans="1:40" ht="15">
      <c r="A274" s="16" t="str">
        <f t="shared" si="16"/>
        <v/>
      </c>
      <c r="B274" s="17"/>
      <c r="C274" s="16" t="str">
        <f t="shared" si="17"/>
        <v/>
      </c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9"/>
      <c r="R274" s="20"/>
      <c r="S274" s="20"/>
      <c r="T274" s="20"/>
      <c r="U274" s="20"/>
      <c r="V274" s="20"/>
      <c r="W274" s="20"/>
      <c r="X274" s="20"/>
      <c r="Y274" s="20"/>
      <c r="Z274" s="20"/>
      <c r="AA274" s="20" t="str">
        <f t="shared" si="18"/>
        <v/>
      </c>
      <c r="AB274" s="21">
        <f t="shared" si="19"/>
        <v>0</v>
      </c>
      <c r="AC274" s="20"/>
      <c r="AD274" s="20"/>
      <c r="AE274" s="20"/>
      <c r="AF274" s="20"/>
      <c r="AG274" s="20"/>
      <c r="AH274" s="22"/>
      <c r="AI274" s="23"/>
      <c r="AJ274" s="22"/>
      <c r="AK274" s="24" t="str">
        <f>IF(B274="","",AI274*Paramètres!$B$4+AJ274)</f>
        <v/>
      </c>
      <c r="AL274" s="25"/>
      <c r="AM274" s="25"/>
      <c r="AN274" s="27"/>
    </row>
    <row r="275" spans="1:40" ht="15">
      <c r="A275" s="16" t="str">
        <f t="shared" si="16"/>
        <v/>
      </c>
      <c r="B275" s="17"/>
      <c r="C275" s="16" t="str">
        <f t="shared" si="17"/>
        <v/>
      </c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9"/>
      <c r="R275" s="20"/>
      <c r="S275" s="20"/>
      <c r="T275" s="20"/>
      <c r="U275" s="20"/>
      <c r="V275" s="20"/>
      <c r="W275" s="20"/>
      <c r="X275" s="20"/>
      <c r="Y275" s="20"/>
      <c r="Z275" s="20"/>
      <c r="AA275" s="20" t="str">
        <f t="shared" si="18"/>
        <v/>
      </c>
      <c r="AB275" s="21">
        <f t="shared" si="19"/>
        <v>0</v>
      </c>
      <c r="AC275" s="20"/>
      <c r="AD275" s="20"/>
      <c r="AE275" s="20"/>
      <c r="AF275" s="20"/>
      <c r="AG275" s="20"/>
      <c r="AH275" s="22"/>
      <c r="AI275" s="23"/>
      <c r="AJ275" s="22"/>
      <c r="AK275" s="24" t="str">
        <f>IF(B275="","",AI275*Paramètres!$B$4+AJ275)</f>
        <v/>
      </c>
      <c r="AL275" s="25"/>
      <c r="AM275" s="25"/>
      <c r="AN275" s="27"/>
    </row>
    <row r="276" spans="1:40" ht="15">
      <c r="A276" s="16" t="str">
        <f t="shared" si="16"/>
        <v/>
      </c>
      <c r="B276" s="17"/>
      <c r="C276" s="16" t="str">
        <f t="shared" si="17"/>
        <v/>
      </c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9"/>
      <c r="R276" s="20"/>
      <c r="S276" s="20"/>
      <c r="T276" s="20"/>
      <c r="U276" s="20"/>
      <c r="V276" s="20"/>
      <c r="W276" s="20"/>
      <c r="X276" s="20"/>
      <c r="Y276" s="20"/>
      <c r="Z276" s="20"/>
      <c r="AA276" s="20" t="str">
        <f t="shared" si="18"/>
        <v/>
      </c>
      <c r="AB276" s="21">
        <f t="shared" si="19"/>
        <v>0</v>
      </c>
      <c r="AC276" s="20"/>
      <c r="AD276" s="20"/>
      <c r="AE276" s="20"/>
      <c r="AF276" s="20"/>
      <c r="AG276" s="20"/>
      <c r="AH276" s="22"/>
      <c r="AI276" s="23"/>
      <c r="AJ276" s="22"/>
      <c r="AK276" s="24" t="str">
        <f>IF(B276="","",AI276*Paramètres!$B$4+AJ276)</f>
        <v/>
      </c>
      <c r="AL276" s="25"/>
      <c r="AM276" s="25"/>
      <c r="AN276" s="27"/>
    </row>
    <row r="277" spans="1:40" ht="15">
      <c r="A277" s="16" t="str">
        <f t="shared" si="16"/>
        <v/>
      </c>
      <c r="B277" s="17"/>
      <c r="C277" s="16" t="str">
        <f t="shared" si="17"/>
        <v/>
      </c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9"/>
      <c r="R277" s="20"/>
      <c r="S277" s="20"/>
      <c r="T277" s="20"/>
      <c r="U277" s="20"/>
      <c r="V277" s="20"/>
      <c r="W277" s="20"/>
      <c r="X277" s="20"/>
      <c r="Y277" s="20"/>
      <c r="Z277" s="20"/>
      <c r="AA277" s="20" t="str">
        <f t="shared" si="18"/>
        <v/>
      </c>
      <c r="AB277" s="21">
        <f t="shared" si="19"/>
        <v>0</v>
      </c>
      <c r="AC277" s="20"/>
      <c r="AD277" s="20"/>
      <c r="AE277" s="20"/>
      <c r="AF277" s="20"/>
      <c r="AG277" s="20"/>
      <c r="AH277" s="22"/>
      <c r="AI277" s="23"/>
      <c r="AJ277" s="22"/>
      <c r="AK277" s="24" t="str">
        <f>IF(B277="","",AI277*Paramètres!$B$4+AJ277)</f>
        <v/>
      </c>
      <c r="AL277" s="25"/>
      <c r="AM277" s="25"/>
      <c r="AN277" s="27"/>
    </row>
    <row r="278" spans="1:40" ht="15">
      <c r="A278" s="16" t="str">
        <f t="shared" si="16"/>
        <v/>
      </c>
      <c r="B278" s="17"/>
      <c r="C278" s="16" t="str">
        <f t="shared" si="17"/>
        <v/>
      </c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9"/>
      <c r="R278" s="20"/>
      <c r="S278" s="20"/>
      <c r="T278" s="20"/>
      <c r="U278" s="20"/>
      <c r="V278" s="20"/>
      <c r="W278" s="20"/>
      <c r="X278" s="20"/>
      <c r="Y278" s="20"/>
      <c r="Z278" s="20"/>
      <c r="AA278" s="20" t="str">
        <f t="shared" si="18"/>
        <v/>
      </c>
      <c r="AB278" s="21">
        <f t="shared" si="19"/>
        <v>0</v>
      </c>
      <c r="AC278" s="20"/>
      <c r="AD278" s="20"/>
      <c r="AE278" s="20"/>
      <c r="AF278" s="20"/>
      <c r="AG278" s="20"/>
      <c r="AH278" s="22"/>
      <c r="AI278" s="23"/>
      <c r="AJ278" s="22"/>
      <c r="AK278" s="24" t="str">
        <f>IF(B278="","",AI278*Paramètres!$B$4+AJ278)</f>
        <v/>
      </c>
      <c r="AL278" s="25"/>
      <c r="AM278" s="25"/>
      <c r="AN278" s="27"/>
    </row>
    <row r="279" spans="1:40" ht="15">
      <c r="A279" s="16" t="str">
        <f t="shared" si="16"/>
        <v/>
      </c>
      <c r="B279" s="17"/>
      <c r="C279" s="16" t="str">
        <f t="shared" si="17"/>
        <v/>
      </c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9"/>
      <c r="R279" s="20"/>
      <c r="S279" s="20"/>
      <c r="T279" s="20"/>
      <c r="U279" s="20"/>
      <c r="V279" s="20"/>
      <c r="W279" s="20"/>
      <c r="X279" s="20"/>
      <c r="Y279" s="20"/>
      <c r="Z279" s="20"/>
      <c r="AA279" s="20" t="str">
        <f t="shared" si="18"/>
        <v/>
      </c>
      <c r="AB279" s="21">
        <f t="shared" si="19"/>
        <v>0</v>
      </c>
      <c r="AC279" s="20"/>
      <c r="AD279" s="20"/>
      <c r="AE279" s="20"/>
      <c r="AF279" s="20"/>
      <c r="AG279" s="20"/>
      <c r="AH279" s="22"/>
      <c r="AI279" s="23"/>
      <c r="AJ279" s="22"/>
      <c r="AK279" s="24" t="str">
        <f>IF(B279="","",AI279*Paramètres!$B$4+AJ279)</f>
        <v/>
      </c>
      <c r="AL279" s="25"/>
      <c r="AM279" s="25"/>
      <c r="AN279" s="27"/>
    </row>
    <row r="280" spans="1:40" ht="15">
      <c r="A280" s="16" t="str">
        <f t="shared" si="16"/>
        <v/>
      </c>
      <c r="B280" s="17"/>
      <c r="C280" s="16" t="str">
        <f t="shared" si="17"/>
        <v/>
      </c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9"/>
      <c r="R280" s="20"/>
      <c r="S280" s="20"/>
      <c r="T280" s="20"/>
      <c r="U280" s="20"/>
      <c r="V280" s="20"/>
      <c r="W280" s="20"/>
      <c r="X280" s="20"/>
      <c r="Y280" s="20"/>
      <c r="Z280" s="20"/>
      <c r="AA280" s="20" t="str">
        <f t="shared" si="18"/>
        <v/>
      </c>
      <c r="AB280" s="21">
        <f t="shared" si="19"/>
        <v>0</v>
      </c>
      <c r="AC280" s="20"/>
      <c r="AD280" s="20"/>
      <c r="AE280" s="20"/>
      <c r="AF280" s="20"/>
      <c r="AG280" s="20"/>
      <c r="AH280" s="22"/>
      <c r="AI280" s="23"/>
      <c r="AJ280" s="22"/>
      <c r="AK280" s="24" t="str">
        <f>IF(B280="","",AI280*Paramètres!$B$4+AJ280)</f>
        <v/>
      </c>
      <c r="AL280" s="25"/>
      <c r="AM280" s="25"/>
      <c r="AN280" s="27"/>
    </row>
    <row r="281" spans="1:40" ht="15">
      <c r="A281" s="16" t="str">
        <f t="shared" si="16"/>
        <v/>
      </c>
      <c r="B281" s="17"/>
      <c r="C281" s="16" t="str">
        <f t="shared" si="17"/>
        <v/>
      </c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9"/>
      <c r="R281" s="20"/>
      <c r="S281" s="20"/>
      <c r="T281" s="20"/>
      <c r="U281" s="20"/>
      <c r="V281" s="20"/>
      <c r="W281" s="20"/>
      <c r="X281" s="20"/>
      <c r="Y281" s="20"/>
      <c r="Z281" s="20"/>
      <c r="AA281" s="20" t="str">
        <f t="shared" si="18"/>
        <v/>
      </c>
      <c r="AB281" s="21">
        <f t="shared" si="19"/>
        <v>0</v>
      </c>
      <c r="AC281" s="20"/>
      <c r="AD281" s="20"/>
      <c r="AE281" s="20"/>
      <c r="AF281" s="20"/>
      <c r="AG281" s="20"/>
      <c r="AH281" s="22"/>
      <c r="AI281" s="23"/>
      <c r="AJ281" s="22"/>
      <c r="AK281" s="24" t="str">
        <f>IF(B281="","",AI281*Paramètres!$B$4+AJ281)</f>
        <v/>
      </c>
      <c r="AL281" s="25"/>
      <c r="AM281" s="25"/>
      <c r="AN281" s="27"/>
    </row>
    <row r="282" spans="1:40" ht="15">
      <c r="A282" s="16" t="str">
        <f t="shared" si="16"/>
        <v/>
      </c>
      <c r="B282" s="17"/>
      <c r="C282" s="16" t="str">
        <f t="shared" si="17"/>
        <v/>
      </c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9"/>
      <c r="R282" s="20"/>
      <c r="S282" s="20"/>
      <c r="T282" s="20"/>
      <c r="U282" s="20"/>
      <c r="V282" s="20"/>
      <c r="W282" s="20"/>
      <c r="X282" s="20"/>
      <c r="Y282" s="20"/>
      <c r="Z282" s="20"/>
      <c r="AA282" s="20" t="str">
        <f t="shared" si="18"/>
        <v/>
      </c>
      <c r="AB282" s="21">
        <f t="shared" si="19"/>
        <v>0</v>
      </c>
      <c r="AC282" s="20"/>
      <c r="AD282" s="20"/>
      <c r="AE282" s="20"/>
      <c r="AF282" s="20"/>
      <c r="AG282" s="20"/>
      <c r="AH282" s="22"/>
      <c r="AI282" s="23"/>
      <c r="AJ282" s="22"/>
      <c r="AK282" s="24" t="str">
        <f>IF(B282="","",AI282*Paramètres!$B$4+AJ282)</f>
        <v/>
      </c>
      <c r="AL282" s="25"/>
      <c r="AM282" s="25"/>
      <c r="AN282" s="27"/>
    </row>
    <row r="283" spans="1:40" ht="15">
      <c r="A283" s="16" t="str">
        <f t="shared" si="16"/>
        <v/>
      </c>
      <c r="B283" s="17"/>
      <c r="C283" s="16" t="str">
        <f t="shared" si="17"/>
        <v/>
      </c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9"/>
      <c r="R283" s="20"/>
      <c r="S283" s="20"/>
      <c r="T283" s="20"/>
      <c r="U283" s="20"/>
      <c r="V283" s="20"/>
      <c r="W283" s="20"/>
      <c r="X283" s="20"/>
      <c r="Y283" s="20"/>
      <c r="Z283" s="20"/>
      <c r="AA283" s="20" t="str">
        <f t="shared" si="18"/>
        <v/>
      </c>
      <c r="AB283" s="21">
        <f t="shared" si="19"/>
        <v>0</v>
      </c>
      <c r="AC283" s="20"/>
      <c r="AD283" s="20"/>
      <c r="AE283" s="20"/>
      <c r="AF283" s="20"/>
      <c r="AG283" s="20"/>
      <c r="AH283" s="22"/>
      <c r="AI283" s="23"/>
      <c r="AJ283" s="22"/>
      <c r="AK283" s="24" t="str">
        <f>IF(B283="","",AI283*Paramètres!$B$4+AJ283)</f>
        <v/>
      </c>
      <c r="AL283" s="25"/>
      <c r="AM283" s="25"/>
      <c r="AN283" s="27"/>
    </row>
    <row r="284" spans="1:40" ht="15">
      <c r="A284" s="16" t="str">
        <f t="shared" si="16"/>
        <v/>
      </c>
      <c r="B284" s="17"/>
      <c r="C284" s="16" t="str">
        <f t="shared" si="17"/>
        <v/>
      </c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9"/>
      <c r="R284" s="20"/>
      <c r="S284" s="20"/>
      <c r="T284" s="20"/>
      <c r="U284" s="20"/>
      <c r="V284" s="20"/>
      <c r="W284" s="20"/>
      <c r="X284" s="20"/>
      <c r="Y284" s="20"/>
      <c r="Z284" s="20"/>
      <c r="AA284" s="20" t="str">
        <f t="shared" si="18"/>
        <v/>
      </c>
      <c r="AB284" s="21">
        <f t="shared" si="19"/>
        <v>0</v>
      </c>
      <c r="AC284" s="20"/>
      <c r="AD284" s="20"/>
      <c r="AE284" s="20"/>
      <c r="AF284" s="20"/>
      <c r="AG284" s="20"/>
      <c r="AH284" s="22"/>
      <c r="AI284" s="23"/>
      <c r="AJ284" s="22"/>
      <c r="AK284" s="24" t="str">
        <f>IF(B284="","",AI284*Paramètres!$B$4+AJ284)</f>
        <v/>
      </c>
      <c r="AL284" s="25"/>
      <c r="AM284" s="25"/>
      <c r="AN284" s="27"/>
    </row>
    <row r="285" spans="1:40" ht="15">
      <c r="A285" s="16" t="str">
        <f t="shared" si="16"/>
        <v/>
      </c>
      <c r="B285" s="17"/>
      <c r="C285" s="16" t="str">
        <f t="shared" si="17"/>
        <v/>
      </c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9"/>
      <c r="R285" s="20"/>
      <c r="S285" s="20"/>
      <c r="T285" s="20"/>
      <c r="U285" s="20"/>
      <c r="V285" s="20"/>
      <c r="W285" s="20"/>
      <c r="X285" s="20"/>
      <c r="Y285" s="20"/>
      <c r="Z285" s="20"/>
      <c r="AA285" s="20" t="str">
        <f t="shared" si="18"/>
        <v/>
      </c>
      <c r="AB285" s="21">
        <f t="shared" si="19"/>
        <v>0</v>
      </c>
      <c r="AC285" s="20"/>
      <c r="AD285" s="20"/>
      <c r="AE285" s="20"/>
      <c r="AF285" s="20"/>
      <c r="AG285" s="20"/>
      <c r="AH285" s="22"/>
      <c r="AI285" s="23"/>
      <c r="AJ285" s="22"/>
      <c r="AK285" s="24" t="str">
        <f>IF(B285="","",AI285*Paramètres!$B$4+AJ285)</f>
        <v/>
      </c>
      <c r="AL285" s="25"/>
      <c r="AM285" s="25"/>
      <c r="AN285" s="27"/>
    </row>
    <row r="286" spans="1:40" ht="15">
      <c r="A286" s="16" t="str">
        <f t="shared" si="16"/>
        <v/>
      </c>
      <c r="B286" s="17"/>
      <c r="C286" s="16" t="str">
        <f t="shared" si="17"/>
        <v/>
      </c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9"/>
      <c r="R286" s="20"/>
      <c r="S286" s="20"/>
      <c r="T286" s="20"/>
      <c r="U286" s="20"/>
      <c r="V286" s="20"/>
      <c r="W286" s="20"/>
      <c r="X286" s="20"/>
      <c r="Y286" s="20"/>
      <c r="Z286" s="20"/>
      <c r="AA286" s="20" t="str">
        <f t="shared" si="18"/>
        <v/>
      </c>
      <c r="AB286" s="21">
        <f t="shared" si="19"/>
        <v>0</v>
      </c>
      <c r="AC286" s="20"/>
      <c r="AD286" s="20"/>
      <c r="AE286" s="20"/>
      <c r="AF286" s="20"/>
      <c r="AG286" s="20"/>
      <c r="AH286" s="22"/>
      <c r="AI286" s="23"/>
      <c r="AJ286" s="22"/>
      <c r="AK286" s="24" t="str">
        <f>IF(B286="","",AI286*Paramètres!$B$4+AJ286)</f>
        <v/>
      </c>
      <c r="AL286" s="25"/>
      <c r="AM286" s="25"/>
      <c r="AN286" s="27"/>
    </row>
    <row r="287" spans="1:40" ht="15">
      <c r="A287" s="16" t="str">
        <f t="shared" si="16"/>
        <v/>
      </c>
      <c r="B287" s="17"/>
      <c r="C287" s="16" t="str">
        <f t="shared" si="17"/>
        <v/>
      </c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9"/>
      <c r="R287" s="20"/>
      <c r="S287" s="20"/>
      <c r="T287" s="20"/>
      <c r="U287" s="20"/>
      <c r="V287" s="20"/>
      <c r="W287" s="20"/>
      <c r="X287" s="20"/>
      <c r="Y287" s="20"/>
      <c r="Z287" s="20"/>
      <c r="AA287" s="20" t="str">
        <f t="shared" si="18"/>
        <v/>
      </c>
      <c r="AB287" s="21">
        <f t="shared" si="19"/>
        <v>0</v>
      </c>
      <c r="AC287" s="20"/>
      <c r="AD287" s="20"/>
      <c r="AE287" s="20"/>
      <c r="AF287" s="20"/>
      <c r="AG287" s="20"/>
      <c r="AH287" s="22"/>
      <c r="AI287" s="23"/>
      <c r="AJ287" s="22"/>
      <c r="AK287" s="24" t="str">
        <f>IF(B287="","",AI287*Paramètres!$B$4+AJ287)</f>
        <v/>
      </c>
      <c r="AL287" s="25"/>
      <c r="AM287" s="25"/>
      <c r="AN287" s="27"/>
    </row>
    <row r="288" spans="1:40" ht="15">
      <c r="A288" s="16" t="str">
        <f t="shared" si="16"/>
        <v/>
      </c>
      <c r="B288" s="17"/>
      <c r="C288" s="16" t="str">
        <f t="shared" si="17"/>
        <v/>
      </c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9"/>
      <c r="R288" s="20"/>
      <c r="S288" s="20"/>
      <c r="T288" s="20"/>
      <c r="U288" s="20"/>
      <c r="V288" s="20"/>
      <c r="W288" s="20"/>
      <c r="X288" s="20"/>
      <c r="Y288" s="20"/>
      <c r="Z288" s="20"/>
      <c r="AA288" s="20" t="str">
        <f t="shared" si="18"/>
        <v/>
      </c>
      <c r="AB288" s="21">
        <f t="shared" si="19"/>
        <v>0</v>
      </c>
      <c r="AC288" s="20"/>
      <c r="AD288" s="20"/>
      <c r="AE288" s="20"/>
      <c r="AF288" s="20"/>
      <c r="AG288" s="20"/>
      <c r="AH288" s="22"/>
      <c r="AI288" s="23"/>
      <c r="AJ288" s="22"/>
      <c r="AK288" s="24" t="str">
        <f>IF(B288="","",AI288*Paramètres!$B$4+AJ288)</f>
        <v/>
      </c>
      <c r="AL288" s="25"/>
      <c r="AM288" s="25"/>
      <c r="AN288" s="27"/>
    </row>
    <row r="289" spans="1:40" ht="15">
      <c r="A289" s="16" t="str">
        <f t="shared" si="16"/>
        <v/>
      </c>
      <c r="B289" s="17"/>
      <c r="C289" s="16" t="str">
        <f t="shared" si="17"/>
        <v/>
      </c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9"/>
      <c r="R289" s="20"/>
      <c r="S289" s="20"/>
      <c r="T289" s="20"/>
      <c r="U289" s="20"/>
      <c r="V289" s="20"/>
      <c r="W289" s="20"/>
      <c r="X289" s="20"/>
      <c r="Y289" s="20"/>
      <c r="Z289" s="20"/>
      <c r="AA289" s="20" t="str">
        <f t="shared" si="18"/>
        <v/>
      </c>
      <c r="AB289" s="21">
        <f t="shared" si="19"/>
        <v>0</v>
      </c>
      <c r="AC289" s="20"/>
      <c r="AD289" s="20"/>
      <c r="AE289" s="20"/>
      <c r="AF289" s="20"/>
      <c r="AG289" s="20"/>
      <c r="AH289" s="22"/>
      <c r="AI289" s="23"/>
      <c r="AJ289" s="22"/>
      <c r="AK289" s="24" t="str">
        <f>IF(B289="","",AI289*Paramètres!$B$4+AJ289)</f>
        <v/>
      </c>
      <c r="AL289" s="25"/>
      <c r="AM289" s="25"/>
      <c r="AN289" s="27"/>
    </row>
    <row r="290" spans="1:40" ht="15">
      <c r="A290" s="16" t="str">
        <f t="shared" si="16"/>
        <v/>
      </c>
      <c r="B290" s="17"/>
      <c r="C290" s="16" t="str">
        <f t="shared" si="17"/>
        <v/>
      </c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9"/>
      <c r="R290" s="20"/>
      <c r="S290" s="20"/>
      <c r="T290" s="20"/>
      <c r="U290" s="20"/>
      <c r="V290" s="20"/>
      <c r="W290" s="20"/>
      <c r="X290" s="20"/>
      <c r="Y290" s="20"/>
      <c r="Z290" s="20"/>
      <c r="AA290" s="20" t="str">
        <f t="shared" si="18"/>
        <v/>
      </c>
      <c r="AB290" s="21">
        <f t="shared" si="19"/>
        <v>0</v>
      </c>
      <c r="AC290" s="20"/>
      <c r="AD290" s="20"/>
      <c r="AE290" s="20"/>
      <c r="AF290" s="20"/>
      <c r="AG290" s="20"/>
      <c r="AH290" s="22"/>
      <c r="AI290" s="23"/>
      <c r="AJ290" s="22"/>
      <c r="AK290" s="24" t="str">
        <f>IF(B290="","",AI290*Paramètres!$B$4+AJ290)</f>
        <v/>
      </c>
      <c r="AL290" s="25"/>
      <c r="AM290" s="25"/>
      <c r="AN290" s="27"/>
    </row>
    <row r="291" spans="1:40" ht="15">
      <c r="A291" s="16" t="str">
        <f t="shared" si="16"/>
        <v/>
      </c>
      <c r="B291" s="17"/>
      <c r="C291" s="16" t="str">
        <f t="shared" si="17"/>
        <v/>
      </c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9"/>
      <c r="R291" s="20"/>
      <c r="S291" s="20"/>
      <c r="T291" s="20"/>
      <c r="U291" s="20"/>
      <c r="V291" s="20"/>
      <c r="W291" s="20"/>
      <c r="X291" s="20"/>
      <c r="Y291" s="20"/>
      <c r="Z291" s="20"/>
      <c r="AA291" s="20" t="str">
        <f t="shared" si="18"/>
        <v/>
      </c>
      <c r="AB291" s="21">
        <f t="shared" si="19"/>
        <v>0</v>
      </c>
      <c r="AC291" s="20"/>
      <c r="AD291" s="20"/>
      <c r="AE291" s="20"/>
      <c r="AF291" s="20"/>
      <c r="AG291" s="20"/>
      <c r="AH291" s="22"/>
      <c r="AI291" s="23"/>
      <c r="AJ291" s="22"/>
      <c r="AK291" s="24" t="str">
        <f>IF(B291="","",AI291*Paramètres!$B$4+AJ291)</f>
        <v/>
      </c>
      <c r="AL291" s="25"/>
      <c r="AM291" s="25"/>
      <c r="AN291" s="27"/>
    </row>
    <row r="292" spans="1:40" ht="15">
      <c r="A292" s="16" t="str">
        <f t="shared" si="16"/>
        <v/>
      </c>
      <c r="B292" s="17"/>
      <c r="C292" s="16" t="str">
        <f t="shared" si="17"/>
        <v/>
      </c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9"/>
      <c r="R292" s="20"/>
      <c r="S292" s="20"/>
      <c r="T292" s="20"/>
      <c r="U292" s="20"/>
      <c r="V292" s="20"/>
      <c r="W292" s="20"/>
      <c r="X292" s="20"/>
      <c r="Y292" s="20"/>
      <c r="Z292" s="20"/>
      <c r="AA292" s="20" t="str">
        <f t="shared" si="18"/>
        <v/>
      </c>
      <c r="AB292" s="21">
        <f t="shared" si="19"/>
        <v>0</v>
      </c>
      <c r="AC292" s="20"/>
      <c r="AD292" s="20"/>
      <c r="AE292" s="20"/>
      <c r="AF292" s="20"/>
      <c r="AG292" s="20"/>
      <c r="AH292" s="22"/>
      <c r="AI292" s="23"/>
      <c r="AJ292" s="22"/>
      <c r="AK292" s="24" t="str">
        <f>IF(B292="","",AI292*Paramètres!$B$4+AJ292)</f>
        <v/>
      </c>
      <c r="AL292" s="25"/>
      <c r="AM292" s="25"/>
      <c r="AN292" s="27"/>
    </row>
    <row r="293" spans="1:40" ht="15">
      <c r="A293" s="16" t="str">
        <f t="shared" si="16"/>
        <v/>
      </c>
      <c r="B293" s="17"/>
      <c r="C293" s="16" t="str">
        <f t="shared" si="17"/>
        <v/>
      </c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9"/>
      <c r="R293" s="20"/>
      <c r="S293" s="20"/>
      <c r="T293" s="20"/>
      <c r="U293" s="20"/>
      <c r="V293" s="20"/>
      <c r="W293" s="20"/>
      <c r="X293" s="20"/>
      <c r="Y293" s="20"/>
      <c r="Z293" s="20"/>
      <c r="AA293" s="20" t="str">
        <f t="shared" si="18"/>
        <v/>
      </c>
      <c r="AB293" s="21">
        <f t="shared" si="19"/>
        <v>0</v>
      </c>
      <c r="AC293" s="20"/>
      <c r="AD293" s="20"/>
      <c r="AE293" s="20"/>
      <c r="AF293" s="20"/>
      <c r="AG293" s="20"/>
      <c r="AH293" s="22"/>
      <c r="AI293" s="23"/>
      <c r="AJ293" s="22"/>
      <c r="AK293" s="24" t="str">
        <f>IF(B293="","",AI293*Paramètres!$B$4+AJ293)</f>
        <v/>
      </c>
      <c r="AL293" s="25"/>
      <c r="AM293" s="25"/>
      <c r="AN293" s="27"/>
    </row>
    <row r="294" spans="1:40" ht="15">
      <c r="A294" s="16" t="str">
        <f t="shared" si="16"/>
        <v/>
      </c>
      <c r="B294" s="17"/>
      <c r="C294" s="16" t="str">
        <f t="shared" si="17"/>
        <v/>
      </c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9"/>
      <c r="R294" s="20"/>
      <c r="S294" s="20"/>
      <c r="T294" s="20"/>
      <c r="U294" s="20"/>
      <c r="V294" s="20"/>
      <c r="W294" s="20"/>
      <c r="X294" s="20"/>
      <c r="Y294" s="20"/>
      <c r="Z294" s="20"/>
      <c r="AA294" s="20" t="str">
        <f t="shared" si="18"/>
        <v/>
      </c>
      <c r="AB294" s="21">
        <f t="shared" si="19"/>
        <v>0</v>
      </c>
      <c r="AC294" s="20"/>
      <c r="AD294" s="20"/>
      <c r="AE294" s="20"/>
      <c r="AF294" s="20"/>
      <c r="AG294" s="20"/>
      <c r="AH294" s="22"/>
      <c r="AI294" s="23"/>
      <c r="AJ294" s="22"/>
      <c r="AK294" s="24" t="str">
        <f>IF(B294="","",AI294*Paramètres!$B$4+AJ294)</f>
        <v/>
      </c>
      <c r="AL294" s="25"/>
      <c r="AM294" s="25"/>
      <c r="AN294" s="27"/>
    </row>
    <row r="295" spans="1:40" ht="15">
      <c r="A295" s="16" t="str">
        <f t="shared" si="16"/>
        <v/>
      </c>
      <c r="B295" s="17"/>
      <c r="C295" s="16" t="str">
        <f t="shared" si="17"/>
        <v/>
      </c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9"/>
      <c r="R295" s="20"/>
      <c r="S295" s="20"/>
      <c r="T295" s="20"/>
      <c r="U295" s="20"/>
      <c r="V295" s="20"/>
      <c r="W295" s="20"/>
      <c r="X295" s="20"/>
      <c r="Y295" s="20"/>
      <c r="Z295" s="20"/>
      <c r="AA295" s="20" t="str">
        <f t="shared" si="18"/>
        <v/>
      </c>
      <c r="AB295" s="21">
        <f t="shared" si="19"/>
        <v>0</v>
      </c>
      <c r="AC295" s="20"/>
      <c r="AD295" s="20"/>
      <c r="AE295" s="20"/>
      <c r="AF295" s="20"/>
      <c r="AG295" s="20"/>
      <c r="AH295" s="22"/>
      <c r="AI295" s="23"/>
      <c r="AJ295" s="22"/>
      <c r="AK295" s="24" t="str">
        <f>IF(B295="","",AI295*Paramètres!$B$4+AJ295)</f>
        <v/>
      </c>
      <c r="AL295" s="25"/>
      <c r="AM295" s="25"/>
      <c r="AN295" s="27"/>
    </row>
    <row r="296" spans="1:40" ht="15">
      <c r="A296" s="16" t="str">
        <f t="shared" si="16"/>
        <v/>
      </c>
      <c r="B296" s="17"/>
      <c r="C296" s="16" t="str">
        <f t="shared" si="17"/>
        <v/>
      </c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9"/>
      <c r="R296" s="20"/>
      <c r="S296" s="20"/>
      <c r="T296" s="20"/>
      <c r="U296" s="20"/>
      <c r="V296" s="20"/>
      <c r="W296" s="20"/>
      <c r="X296" s="20"/>
      <c r="Y296" s="20"/>
      <c r="Z296" s="20"/>
      <c r="AA296" s="20" t="str">
        <f t="shared" si="18"/>
        <v/>
      </c>
      <c r="AB296" s="21">
        <f t="shared" si="19"/>
        <v>0</v>
      </c>
      <c r="AC296" s="20"/>
      <c r="AD296" s="20"/>
      <c r="AE296" s="20"/>
      <c r="AF296" s="20"/>
      <c r="AG296" s="20"/>
      <c r="AH296" s="22"/>
      <c r="AI296" s="23"/>
      <c r="AJ296" s="22"/>
      <c r="AK296" s="24" t="str">
        <f>IF(B296="","",AI296*Paramètres!$B$4+AJ296)</f>
        <v/>
      </c>
      <c r="AL296" s="25"/>
      <c r="AM296" s="25"/>
      <c r="AN296" s="27"/>
    </row>
    <row r="297" spans="1:40" ht="15">
      <c r="A297" s="16" t="str">
        <f t="shared" si="16"/>
        <v/>
      </c>
      <c r="B297" s="17"/>
      <c r="C297" s="16" t="str">
        <f t="shared" si="17"/>
        <v/>
      </c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9"/>
      <c r="R297" s="20"/>
      <c r="S297" s="20"/>
      <c r="T297" s="20"/>
      <c r="U297" s="20"/>
      <c r="V297" s="20"/>
      <c r="W297" s="20"/>
      <c r="X297" s="20"/>
      <c r="Y297" s="20"/>
      <c r="Z297" s="20"/>
      <c r="AA297" s="20" t="str">
        <f t="shared" si="18"/>
        <v/>
      </c>
      <c r="AB297" s="21">
        <f t="shared" si="19"/>
        <v>0</v>
      </c>
      <c r="AC297" s="20"/>
      <c r="AD297" s="20"/>
      <c r="AE297" s="20"/>
      <c r="AF297" s="20"/>
      <c r="AG297" s="20"/>
      <c r="AH297" s="22"/>
      <c r="AI297" s="23"/>
      <c r="AJ297" s="22"/>
      <c r="AK297" s="24" t="str">
        <f>IF(B297="","",AI297*Paramètres!$B$4+AJ297)</f>
        <v/>
      </c>
      <c r="AL297" s="25"/>
      <c r="AM297" s="25"/>
      <c r="AN297" s="27"/>
    </row>
    <row r="298" spans="1:40" ht="15">
      <c r="A298" s="16" t="str">
        <f t="shared" si="16"/>
        <v/>
      </c>
      <c r="B298" s="17"/>
      <c r="C298" s="16" t="str">
        <f t="shared" si="17"/>
        <v/>
      </c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9"/>
      <c r="R298" s="20"/>
      <c r="S298" s="20"/>
      <c r="T298" s="20"/>
      <c r="U298" s="20"/>
      <c r="V298" s="20"/>
      <c r="W298" s="20"/>
      <c r="X298" s="20"/>
      <c r="Y298" s="20"/>
      <c r="Z298" s="20"/>
      <c r="AA298" s="20" t="str">
        <f t="shared" si="18"/>
        <v/>
      </c>
      <c r="AB298" s="21">
        <f t="shared" si="19"/>
        <v>0</v>
      </c>
      <c r="AC298" s="20"/>
      <c r="AD298" s="20"/>
      <c r="AE298" s="20"/>
      <c r="AF298" s="20"/>
      <c r="AG298" s="20"/>
      <c r="AH298" s="22"/>
      <c r="AI298" s="23"/>
      <c r="AJ298" s="22"/>
      <c r="AK298" s="24" t="str">
        <f>IF(B298="","",AI298*Paramètres!$B$4+AJ298)</f>
        <v/>
      </c>
      <c r="AL298" s="25"/>
      <c r="AM298" s="25"/>
      <c r="AN298" s="27"/>
    </row>
    <row r="299" spans="1:40" ht="15">
      <c r="A299" s="16" t="str">
        <f t="shared" si="16"/>
        <v/>
      </c>
      <c r="B299" s="17"/>
      <c r="C299" s="16" t="str">
        <f t="shared" si="17"/>
        <v/>
      </c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9"/>
      <c r="R299" s="20"/>
      <c r="S299" s="20"/>
      <c r="T299" s="20"/>
      <c r="U299" s="20"/>
      <c r="V299" s="20"/>
      <c r="W299" s="20"/>
      <c r="X299" s="20"/>
      <c r="Y299" s="20"/>
      <c r="Z299" s="20"/>
      <c r="AA299" s="20" t="str">
        <f t="shared" si="18"/>
        <v/>
      </c>
      <c r="AB299" s="21">
        <f t="shared" si="19"/>
        <v>0</v>
      </c>
      <c r="AC299" s="20"/>
      <c r="AD299" s="20"/>
      <c r="AE299" s="20"/>
      <c r="AF299" s="20"/>
      <c r="AG299" s="20"/>
      <c r="AH299" s="22"/>
      <c r="AI299" s="23"/>
      <c r="AJ299" s="22"/>
      <c r="AK299" s="24" t="str">
        <f>IF(B299="","",AI299*Paramètres!$B$4+AJ299)</f>
        <v/>
      </c>
      <c r="AL299" s="25"/>
      <c r="AM299" s="25"/>
      <c r="AN299" s="27"/>
    </row>
    <row r="300" spans="1:40" ht="15">
      <c r="A300" s="16" t="str">
        <f t="shared" si="16"/>
        <v/>
      </c>
      <c r="B300" s="17"/>
      <c r="C300" s="16" t="str">
        <f t="shared" si="17"/>
        <v/>
      </c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9"/>
      <c r="R300" s="20"/>
      <c r="S300" s="20"/>
      <c r="T300" s="20"/>
      <c r="U300" s="20"/>
      <c r="V300" s="20"/>
      <c r="W300" s="20"/>
      <c r="X300" s="20"/>
      <c r="Y300" s="20"/>
      <c r="Z300" s="20"/>
      <c r="AA300" s="20" t="str">
        <f t="shared" si="18"/>
        <v/>
      </c>
      <c r="AB300" s="21">
        <f t="shared" si="19"/>
        <v>0</v>
      </c>
      <c r="AC300" s="20"/>
      <c r="AD300" s="20"/>
      <c r="AE300" s="20"/>
      <c r="AF300" s="20"/>
      <c r="AG300" s="20"/>
      <c r="AH300" s="22"/>
      <c r="AI300" s="23"/>
      <c r="AJ300" s="22"/>
      <c r="AK300" s="24" t="str">
        <f>IF(B300="","",AI300*Paramètres!$B$4+AJ300)</f>
        <v/>
      </c>
      <c r="AL300" s="25"/>
      <c r="AM300" s="25"/>
      <c r="AN300" s="27"/>
    </row>
    <row r="301" spans="1:40" ht="15">
      <c r="A301" s="16" t="str">
        <f t="shared" si="16"/>
        <v/>
      </c>
      <c r="B301" s="17"/>
      <c r="C301" s="16" t="str">
        <f t="shared" si="17"/>
        <v/>
      </c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9"/>
      <c r="R301" s="20"/>
      <c r="S301" s="20"/>
      <c r="T301" s="20"/>
      <c r="U301" s="20"/>
      <c r="V301" s="20"/>
      <c r="W301" s="20"/>
      <c r="X301" s="20"/>
      <c r="Y301" s="20"/>
      <c r="Z301" s="20"/>
      <c r="AA301" s="20" t="str">
        <f t="shared" si="18"/>
        <v/>
      </c>
      <c r="AB301" s="21">
        <f t="shared" si="19"/>
        <v>0</v>
      </c>
      <c r="AC301" s="20"/>
      <c r="AD301" s="20"/>
      <c r="AE301" s="20"/>
      <c r="AF301" s="20"/>
      <c r="AG301" s="20"/>
      <c r="AH301" s="22"/>
      <c r="AI301" s="23"/>
      <c r="AJ301" s="22"/>
      <c r="AK301" s="24" t="str">
        <f>IF(B301="","",AI301*Paramètres!$B$4+AJ301)</f>
        <v/>
      </c>
      <c r="AL301" s="25"/>
      <c r="AM301" s="25"/>
      <c r="AN301" s="27"/>
    </row>
    <row r="302" spans="1:40" ht="15">
      <c r="A302" s="16" t="str">
        <f t="shared" si="16"/>
        <v/>
      </c>
      <c r="B302" s="17"/>
      <c r="C302" s="16" t="str">
        <f t="shared" si="17"/>
        <v/>
      </c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9"/>
      <c r="R302" s="20"/>
      <c r="S302" s="20"/>
      <c r="T302" s="20"/>
      <c r="U302" s="20"/>
      <c r="V302" s="20"/>
      <c r="W302" s="20"/>
      <c r="X302" s="20"/>
      <c r="Y302" s="20"/>
      <c r="Z302" s="20"/>
      <c r="AA302" s="20" t="str">
        <f t="shared" si="18"/>
        <v/>
      </c>
      <c r="AB302" s="21">
        <f t="shared" si="19"/>
        <v>0</v>
      </c>
      <c r="AC302" s="20"/>
      <c r="AD302" s="20"/>
      <c r="AE302" s="20"/>
      <c r="AF302" s="20"/>
      <c r="AG302" s="20"/>
      <c r="AH302" s="22"/>
      <c r="AI302" s="23"/>
      <c r="AJ302" s="22"/>
      <c r="AK302" s="24" t="str">
        <f>IF(B302="","",AI302*Paramètres!$B$4+AJ302)</f>
        <v/>
      </c>
      <c r="AL302" s="25"/>
      <c r="AM302" s="25"/>
      <c r="AN302" s="27"/>
    </row>
    <row r="303" spans="1:40" ht="15">
      <c r="A303" s="16" t="str">
        <f t="shared" si="16"/>
        <v/>
      </c>
      <c r="B303" s="17"/>
      <c r="C303" s="16" t="str">
        <f t="shared" si="17"/>
        <v/>
      </c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9"/>
      <c r="R303" s="20"/>
      <c r="S303" s="20"/>
      <c r="T303" s="20"/>
      <c r="U303" s="20"/>
      <c r="V303" s="20"/>
      <c r="W303" s="20"/>
      <c r="X303" s="20"/>
      <c r="Y303" s="20"/>
      <c r="Z303" s="20"/>
      <c r="AA303" s="20" t="str">
        <f t="shared" si="18"/>
        <v/>
      </c>
      <c r="AB303" s="21">
        <f t="shared" si="19"/>
        <v>0</v>
      </c>
      <c r="AC303" s="20"/>
      <c r="AD303" s="20"/>
      <c r="AE303" s="20"/>
      <c r="AF303" s="20"/>
      <c r="AG303" s="20"/>
      <c r="AH303" s="22"/>
      <c r="AI303" s="23"/>
      <c r="AJ303" s="22"/>
      <c r="AK303" s="24" t="str">
        <f>IF(B303="","",AI303*Paramètres!$B$4+AJ303)</f>
        <v/>
      </c>
      <c r="AL303" s="25"/>
      <c r="AM303" s="25"/>
      <c r="AN303" s="27"/>
    </row>
    <row r="304" spans="1:40" ht="15">
      <c r="A304" s="16" t="str">
        <f t="shared" si="16"/>
        <v/>
      </c>
      <c r="B304" s="17"/>
      <c r="C304" s="16" t="str">
        <f t="shared" si="17"/>
        <v/>
      </c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9"/>
      <c r="R304" s="20"/>
      <c r="S304" s="20"/>
      <c r="T304" s="20"/>
      <c r="U304" s="20"/>
      <c r="V304" s="20"/>
      <c r="W304" s="20"/>
      <c r="X304" s="20"/>
      <c r="Y304" s="20"/>
      <c r="Z304" s="20"/>
      <c r="AA304" s="20" t="str">
        <f t="shared" si="18"/>
        <v/>
      </c>
      <c r="AB304" s="21">
        <f t="shared" si="19"/>
        <v>0</v>
      </c>
      <c r="AC304" s="20"/>
      <c r="AD304" s="20"/>
      <c r="AE304" s="20"/>
      <c r="AF304" s="20"/>
      <c r="AG304" s="20"/>
      <c r="AH304" s="22"/>
      <c r="AI304" s="23"/>
      <c r="AJ304" s="22"/>
      <c r="AK304" s="24" t="str">
        <f>IF(B304="","",AI304*Paramètres!$B$4+AJ304)</f>
        <v/>
      </c>
      <c r="AL304" s="25"/>
      <c r="AM304" s="25"/>
      <c r="AN304" s="27"/>
    </row>
    <row r="305" spans="1:40" ht="15">
      <c r="A305" s="28" t="str">
        <f t="shared" si="16"/>
        <v/>
      </c>
      <c r="B305" s="29"/>
      <c r="C305" s="28" t="str">
        <f t="shared" si="17"/>
        <v/>
      </c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1"/>
      <c r="R305" s="32"/>
      <c r="S305" s="32"/>
      <c r="T305" s="32"/>
      <c r="U305" s="32"/>
      <c r="V305" s="32"/>
      <c r="W305" s="32"/>
      <c r="X305" s="32"/>
      <c r="Y305" s="32"/>
      <c r="Z305" s="32"/>
      <c r="AA305" s="32" t="str">
        <f t="shared" si="18"/>
        <v/>
      </c>
      <c r="AB305" s="33">
        <f t="shared" si="19"/>
        <v>0</v>
      </c>
      <c r="AC305" s="32"/>
      <c r="AD305" s="32"/>
      <c r="AE305" s="32"/>
      <c r="AF305" s="32"/>
      <c r="AG305" s="32"/>
      <c r="AH305" s="34"/>
      <c r="AI305" s="35"/>
      <c r="AJ305" s="34"/>
      <c r="AK305" s="36" t="str">
        <f>IF(B305="","",AI305*Paramètres!$B$4+AJ305)</f>
        <v/>
      </c>
      <c r="AL305" s="37"/>
      <c r="AM305" s="37"/>
      <c r="AN305" s="38"/>
    </row>
  </sheetData>
  <mergeCells count="2">
    <mergeCell ref="A1:AN1"/>
    <mergeCell ref="B2:I2"/>
  </mergeCells>
  <conditionalFormatting sqref="E6:E305">
    <cfRule type="expression" dxfId="3" priority="1">
      <formula>E6="Publiée"</formula>
    </cfRule>
    <cfRule type="expression" dxfId="2" priority="2">
      <formula>E6="Abandonnée"</formula>
    </cfRule>
  </conditionalFormatting>
  <conditionalFormatting sqref="AN6:AN305">
    <cfRule type="expression" dxfId="1" priority="3">
      <formula>AN6="À reproduire"</formula>
    </cfRule>
    <cfRule type="expression" dxfId="0" priority="4">
      <formula>AN6="À abandonner"</formula>
    </cfRule>
  </conditionalFormatting>
  <dataValidations count="8">
    <dataValidation type="list" sqref="D6:D305" xr:uid="{00000000-0002-0000-0200-000000000000}">
      <formula1>"Facebook,Instagram,TikTok,YouTube"</formula1>
    </dataValidation>
    <dataValidation type="list" sqref="E6:E305" xr:uid="{00000000-0002-0000-0200-000001000000}">
      <formula1>"À préparer,En production,À valider,Programmée,Publiée,Abandonnée"</formula1>
    </dataValidation>
    <dataValidation type="list" sqref="H6:H305" xr:uid="{00000000-0002-0000-0200-000002000000}">
      <formula1>"Froid,Chaud"</formula1>
    </dataValidation>
    <dataValidation type="list" sqref="J6:J305" xr:uid="{00000000-0002-0000-0200-000003000000}">
      <formula1>"See,Think,Do"</formula1>
    </dataValidation>
    <dataValidation type="list" sqref="K6:K305" xr:uid="{00000000-0002-0000-0200-000004000000}">
      <formula1>"Donner pour recevoir,Storytelling,Contenu pilier,Autre"</formula1>
    </dataValidation>
    <dataValidation type="list" sqref="L6:L305" xr:uid="{00000000-0002-0000-0200-000005000000}">
      <formula1>"Post texte,Texte + visuel,Image,Plusieurs images,Reel / vidéo courte,Story,Live,Événement,Vidéo longue,Short,Autre"</formula1>
    </dataValidation>
    <dataValidation type="list" sqref="P6:P305 AG6:AG305" xr:uid="{00000000-0002-0000-0200-000006000000}">
      <formula1>"Oui,Non"</formula1>
    </dataValidation>
    <dataValidation type="list" sqref="AN6:AN305" xr:uid="{00000000-0002-0000-0200-000008000000}">
      <formula1>"À analyser,À reproduire,À ajuster,À surveiller,À abandonner"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5"/>
  <sheetViews>
    <sheetView topLeftCell="A3" workbookViewId="0">
      <selection activeCell="A9" sqref="A9:R9"/>
    </sheetView>
  </sheetViews>
  <sheetFormatPr baseColWidth="10" defaultColWidth="8.83203125" defaultRowHeight="14"/>
  <cols>
    <col min="1" max="1" width="18" customWidth="1"/>
    <col min="2" max="7" width="12" customWidth="1"/>
    <col min="8" max="8" width="22" customWidth="1"/>
    <col min="9" max="18" width="12" customWidth="1"/>
  </cols>
  <sheetData>
    <row r="1" spans="1:18" ht="40" customHeight="1">
      <c r="A1" s="77" t="s">
        <v>164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8" ht="16">
      <c r="A2" s="82" t="s">
        <v>72</v>
      </c>
      <c r="B2" s="82"/>
      <c r="C2" s="82" t="s">
        <v>108</v>
      </c>
      <c r="D2" s="82"/>
      <c r="E2" s="82" t="s">
        <v>71</v>
      </c>
      <c r="F2" s="82"/>
      <c r="G2" s="82" t="s">
        <v>109</v>
      </c>
      <c r="H2" s="82"/>
      <c r="I2" s="39"/>
      <c r="J2" s="39"/>
      <c r="K2" s="39"/>
      <c r="L2" s="39"/>
      <c r="M2" s="39"/>
      <c r="N2" s="39"/>
      <c r="O2" s="39"/>
      <c r="P2" s="39"/>
      <c r="Q2" s="39"/>
      <c r="R2" s="39"/>
    </row>
    <row r="3" spans="1:18" ht="32" customHeight="1">
      <c r="A3" s="78" t="s">
        <v>110</v>
      </c>
      <c r="B3" s="81" t="s">
        <v>111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</row>
    <row r="4" spans="1:18" ht="15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</row>
    <row r="5" spans="1:18" ht="16">
      <c r="A5" s="83" t="s">
        <v>112</v>
      </c>
      <c r="B5" s="84"/>
      <c r="C5" s="85"/>
      <c r="D5" s="83" t="s">
        <v>87</v>
      </c>
      <c r="E5" s="84"/>
      <c r="F5" s="85"/>
      <c r="G5" s="83" t="s">
        <v>88</v>
      </c>
      <c r="H5" s="84"/>
      <c r="I5" s="85"/>
      <c r="J5" s="83" t="s">
        <v>113</v>
      </c>
      <c r="K5" s="84"/>
      <c r="L5" s="85"/>
      <c r="M5" s="83" t="s">
        <v>96</v>
      </c>
      <c r="N5" s="84"/>
      <c r="O5" s="85"/>
      <c r="P5" s="83" t="s">
        <v>97</v>
      </c>
      <c r="Q5" s="84"/>
      <c r="R5" s="85"/>
    </row>
    <row r="6" spans="1:18" ht="15">
      <c r="A6" s="40"/>
      <c r="B6" s="41"/>
      <c r="C6" s="42"/>
      <c r="D6" s="40"/>
      <c r="E6" s="41"/>
      <c r="F6" s="42"/>
      <c r="G6" s="40"/>
      <c r="H6" s="41"/>
      <c r="I6" s="42"/>
      <c r="J6" s="40"/>
      <c r="K6" s="41"/>
      <c r="L6" s="42"/>
      <c r="M6" s="40"/>
      <c r="N6" s="41"/>
      <c r="O6" s="42"/>
      <c r="P6" s="40"/>
      <c r="Q6" s="41"/>
      <c r="R6" s="42"/>
    </row>
    <row r="7" spans="1:18" ht="15">
      <c r="A7" s="43">
        <f>IF(AND($C$2="Toutes",$G$2="Tous"),COUNTIFS('Calendrier éditorial'!$E$6:$E$305,"Publiée"),IF($C$2="Toutes",COUNTIFS('Calendrier éditorial'!$E$6:$E$305,"Publiée",'Calendrier éditorial'!$C$6:$C$305,$G$2),IF($G$2="Tous",COUNTIFS('Calendrier éditorial'!$E$6:$E$305,"Publiée",'Calendrier éditorial'!$D$6:$D$305,$C$2),COUNTIFS('Calendrier éditorial'!$E$6:$E$305,"Publiée",'Calendrier éditorial'!$D$6:$D$305,$C$2,'Calendrier éditorial'!$C$6:$C$305,$G$2))))</f>
        <v>0</v>
      </c>
      <c r="B7" s="44"/>
      <c r="C7" s="45"/>
      <c r="D7" s="46">
        <f>IF(AND($C$2="Toutes",$G$2="Tous"),SUMIFS('Calendrier éditorial'!$S$6:$S$305,'Calendrier éditorial'!$E$6:$E$305,"Publiée"),IF($C$2="Toutes",SUMIFS('Calendrier éditorial'!$S$6:$S$305,'Calendrier éditorial'!$E$6:$E$305,"Publiée",'Calendrier éditorial'!$C$6:$C$305,$G$2),IF($G$2="Tous",SUMIFS('Calendrier éditorial'!$S$6:$S$305,'Calendrier éditorial'!$E$6:$E$305,"Publiée",'Calendrier éditorial'!$D$6:$D$305,$C$2),SUMIFS('Calendrier éditorial'!$S$6:$S$305,'Calendrier éditorial'!$E$6:$E$305,"Publiée",'Calendrier éditorial'!$D$6:$D$305,$C$2,'Calendrier éditorial'!$C$6:$C$305,$G$2))))</f>
        <v>0</v>
      </c>
      <c r="E7" s="44"/>
      <c r="F7" s="45"/>
      <c r="G7" s="46">
        <f>IF(AND($C$2="Toutes",$G$2="Tous"),SUMIFS('Calendrier éditorial'!$T$6:$T$305,'Calendrier éditorial'!$E$6:$E$305,"Publiée"),IF($C$2="Toutes",SUMIFS('Calendrier éditorial'!$T$6:$T$305,'Calendrier éditorial'!$E$6:$E$305,"Publiée",'Calendrier éditorial'!$C$6:$C$305,$G$2),IF($G$2="Tous",SUMIFS('Calendrier éditorial'!$T$6:$T$305,'Calendrier éditorial'!$E$6:$E$305,"Publiée",'Calendrier éditorial'!$D$6:$D$305,$C$2),SUMIFS('Calendrier éditorial'!$T$6:$T$305,'Calendrier éditorial'!$E$6:$E$305,"Publiée",'Calendrier éditorial'!$D$6:$D$305,$C$2,'Calendrier éditorial'!$C$6:$C$305,$G$2))))</f>
        <v>0</v>
      </c>
      <c r="H7" s="44"/>
      <c r="I7" s="45"/>
      <c r="J7" s="46">
        <f>IF(AND($C$2="Toutes",$G$2="Tous"),SUMIFS('Calendrier éditorial'!$AA$6:$AA$305,'Calendrier éditorial'!$E$6:$E$305,"Publiée"),IF($C$2="Toutes",SUMIFS('Calendrier éditorial'!$AA$6:$AA$305,'Calendrier éditorial'!$E$6:$E$305,"Publiée",'Calendrier éditorial'!$C$6:$C$305,$G$2),IF($G$2="Tous",SUMIFS('Calendrier éditorial'!$AA$6:$AA$305,'Calendrier éditorial'!$E$6:$E$305,"Publiée",'Calendrier éditorial'!$D$6:$D$305,$C$2),SUMIFS('Calendrier éditorial'!$AA$6:$AA$305,'Calendrier éditorial'!$E$6:$E$305,"Publiée",'Calendrier éditorial'!$D$6:$D$305,$C$2,'Calendrier éditorial'!$C$6:$C$305,$G$2))))</f>
        <v>0</v>
      </c>
      <c r="K7" s="44"/>
      <c r="L7" s="45"/>
      <c r="M7" s="47">
        <f>IFERROR(J7/G7,0)</f>
        <v>0</v>
      </c>
      <c r="N7" s="44"/>
      <c r="O7" s="45"/>
      <c r="P7" s="46">
        <f>IF(AND($C$2="Toutes",$G$2="Tous"),SUMIFS('Calendrier éditorial'!$AC$6:$AC$305,'Calendrier éditorial'!$E$6:$E$305,"Publiée"),IF($C$2="Toutes",SUMIFS('Calendrier éditorial'!$AC$6:$AC$305,'Calendrier éditorial'!$E$6:$E$305,"Publiée",'Calendrier éditorial'!$C$6:$C$305,$G$2),IF($G$2="Tous",SUMIFS('Calendrier éditorial'!$AC$6:$AC$305,'Calendrier éditorial'!$E$6:$E$305,"Publiée",'Calendrier éditorial'!$D$6:$D$305,$C$2),SUMIFS('Calendrier éditorial'!$AC$6:$AC$305,'Calendrier éditorial'!$E$6:$E$305,"Publiée",'Calendrier éditorial'!$D$6:$D$305,$C$2,'Calendrier éditorial'!$C$6:$C$305,$G$2))))</f>
        <v>0</v>
      </c>
      <c r="Q7" s="44"/>
      <c r="R7" s="45"/>
    </row>
    <row r="8" spans="1:18" ht="15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</row>
    <row r="9" spans="1:18" ht="16">
      <c r="A9" s="83" t="s">
        <v>99</v>
      </c>
      <c r="B9" s="84"/>
      <c r="C9" s="85"/>
      <c r="D9" s="83" t="s">
        <v>100</v>
      </c>
      <c r="E9" s="84"/>
      <c r="F9" s="85"/>
      <c r="G9" s="83" t="s">
        <v>114</v>
      </c>
      <c r="H9" s="84"/>
      <c r="I9" s="85"/>
      <c r="J9" s="83" t="s">
        <v>102</v>
      </c>
      <c r="K9" s="84"/>
      <c r="L9" s="85"/>
      <c r="M9" s="83" t="s">
        <v>115</v>
      </c>
      <c r="N9" s="84"/>
      <c r="O9" s="85"/>
      <c r="P9" s="83" t="s">
        <v>105</v>
      </c>
      <c r="Q9" s="84"/>
      <c r="R9" s="85"/>
    </row>
    <row r="10" spans="1:18" ht="15">
      <c r="A10" s="40"/>
      <c r="B10" s="41"/>
      <c r="C10" s="42"/>
      <c r="D10" s="40"/>
      <c r="E10" s="41"/>
      <c r="F10" s="42"/>
      <c r="G10" s="40"/>
      <c r="H10" s="41"/>
      <c r="I10" s="42"/>
      <c r="J10" s="40"/>
      <c r="K10" s="41"/>
      <c r="L10" s="42"/>
      <c r="M10" s="40"/>
      <c r="N10" s="41"/>
      <c r="O10" s="42"/>
      <c r="P10" s="40"/>
      <c r="Q10" s="41"/>
      <c r="R10" s="42"/>
    </row>
    <row r="11" spans="1:18" ht="15">
      <c r="A11" s="46">
        <f>IF(AND($C$2="Toutes",$G$2="Tous"),SUMIFS('Calendrier éditorial'!$AE$6:$AE$305,'Calendrier éditorial'!$E$6:$E$305,"Publiée"),IF($C$2="Toutes",SUMIFS('Calendrier éditorial'!$AE$6:$AE$305,'Calendrier éditorial'!$E$6:$E$305,"Publiée",'Calendrier éditorial'!$C$6:$C$305,$G$2),IF($G$2="Tous",SUMIFS('Calendrier éditorial'!$AE$6:$AE$305,'Calendrier éditorial'!$E$6:$E$305,"Publiée",'Calendrier éditorial'!$D$6:$D$305,$C$2),SUMIFS('Calendrier éditorial'!$AE$6:$AE$305,'Calendrier éditorial'!$E$6:$E$305,"Publiée",'Calendrier éditorial'!$D$6:$D$305,$C$2,'Calendrier éditorial'!$C$6:$C$305,$G$2))))</f>
        <v>0</v>
      </c>
      <c r="B11" s="44"/>
      <c r="C11" s="45"/>
      <c r="D11" s="46">
        <f>IF(AND($C$2="Toutes",$G$2="Tous"),SUMIFS('Calendrier éditorial'!$AF$6:$AF$305,'Calendrier éditorial'!$E$6:$E$305,"Publiée"),IF($C$2="Toutes",SUMIFS('Calendrier éditorial'!$AF$6:$AF$305,'Calendrier éditorial'!$E$6:$E$305,"Publiée",'Calendrier éditorial'!$C$6:$C$305,$G$2),IF($G$2="Tous",SUMIFS('Calendrier éditorial'!$AF$6:$AF$305,'Calendrier éditorial'!$E$6:$E$305,"Publiée",'Calendrier éditorial'!$D$6:$D$305,$C$2),SUMIFS('Calendrier éditorial'!$AF$6:$AF$305,'Calendrier éditorial'!$E$6:$E$305,"Publiée",'Calendrier éditorial'!$D$6:$D$305,$C$2,'Calendrier éditorial'!$C$6:$C$305,$G$2))))</f>
        <v>0</v>
      </c>
      <c r="E11" s="44"/>
      <c r="F11" s="45"/>
      <c r="G11" s="46">
        <f>IF(AND($C$2="Toutes",$G$2="Tous"),COUNTIFS('Calendrier éditorial'!$E$6:$E$305,"Publiée",'Calendrier éditorial'!$AG$6:$AG$305,"Oui"),IF($C$2="Toutes",COUNTIFS('Calendrier éditorial'!$E$6:$E$305,"Publiée",'Calendrier éditorial'!$C$6:$C$305,$G$2,'Calendrier éditorial'!$AG$6:$AG$305,"Oui"),IF($G$2="Tous",COUNTIFS('Calendrier éditorial'!$E$6:$E$305,"Publiée",'Calendrier éditorial'!$D$6:$D$305,$C$2,'Calendrier éditorial'!$AG$6:$AG$305,"Oui"),COUNTIFS('Calendrier éditorial'!$E$6:$E$305,"Publiée",'Calendrier éditorial'!$D$6:$D$305,$C$2,'Calendrier éditorial'!$C$6:$C$305,$G$2,'Calendrier éditorial'!$AG$6:$AG$305,"Oui"))))</f>
        <v>0</v>
      </c>
      <c r="H11" s="44"/>
      <c r="I11" s="45"/>
      <c r="J11" s="48">
        <f>IF(AND($C$2="Toutes",$G$2="Tous"),SUMIFS('Calendrier éditorial'!$AH$6:$AH$305,'Calendrier éditorial'!$E$6:$E$305,"Publiée"),IF($C$2="Toutes",SUMIFS('Calendrier éditorial'!$AH$6:$AH$305,'Calendrier éditorial'!$E$6:$E$305,"Publiée",'Calendrier éditorial'!$C$6:$C$305,$G$2),IF($G$2="Tous",SUMIFS('Calendrier éditorial'!$AH$6:$AH$305,'Calendrier éditorial'!$E$6:$E$305,"Publiée",'Calendrier éditorial'!$D$6:$D$305,$C$2),SUMIFS('Calendrier éditorial'!$AH$6:$AH$305,'Calendrier éditorial'!$E$6:$E$305,"Publiée",'Calendrier éditorial'!$D$6:$D$305,$C$2,'Calendrier éditorial'!$C$6:$C$305,$G$2))))</f>
        <v>0</v>
      </c>
      <c r="K11" s="44"/>
      <c r="L11" s="45"/>
      <c r="M11" s="49">
        <f>IF(AND($C$2="Toutes",$G$2="Tous"),SUMIFS('Calendrier éditorial'!$AI$6:$AI$305,'Calendrier éditorial'!$E$6:$E$305,"Publiée"),IF($C$2="Toutes",SUMIFS('Calendrier éditorial'!$AI$6:$AI$305,'Calendrier éditorial'!$E$6:$E$305,"Publiée",'Calendrier éditorial'!$C$6:$C$305,$G$2),IF($G$2="Tous",SUMIFS('Calendrier éditorial'!$AI$6:$AI$305,'Calendrier éditorial'!$E$6:$E$305,"Publiée",'Calendrier éditorial'!$D$6:$D$305,$C$2),SUMIFS('Calendrier éditorial'!$AI$6:$AI$305,'Calendrier éditorial'!$E$6:$E$305,"Publiée",'Calendrier éditorial'!$D$6:$D$305,$C$2,'Calendrier éditorial'!$C$6:$C$305,$G$2))))</f>
        <v>0</v>
      </c>
      <c r="N11" s="44"/>
      <c r="O11" s="45"/>
      <c r="P11" s="48">
        <f>IF(AND($C$2="Toutes",$G$2="Tous"),SUMIFS('Calendrier éditorial'!$AK$6:$AK$305,'Calendrier éditorial'!$E$6:$E$305,"Publiée"),IF($C$2="Toutes",SUMIFS('Calendrier éditorial'!$AK$6:$AK$305,'Calendrier éditorial'!$E$6:$E$305,"Publiée",'Calendrier éditorial'!$C$6:$C$305,$G$2),IF($G$2="Tous",SUMIFS('Calendrier éditorial'!$AK$6:$AK$305,'Calendrier éditorial'!$E$6:$E$305,"Publiée",'Calendrier éditorial'!$D$6:$D$305,$C$2),SUMIFS('Calendrier éditorial'!$AK$6:$AK$305,'Calendrier éditorial'!$E$6:$E$305,"Publiée",'Calendrier éditorial'!$D$6:$D$305,$C$2,'Calendrier éditorial'!$C$6:$C$305,$G$2))))</f>
        <v>0</v>
      </c>
      <c r="Q11" s="44"/>
      <c r="R11" s="45"/>
    </row>
    <row r="12" spans="1:18" ht="1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</row>
    <row r="13" spans="1:18" ht="16">
      <c r="A13" s="79" t="s">
        <v>116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</row>
    <row r="14" spans="1:18" ht="1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</row>
    <row r="15" spans="1:18" ht="15">
      <c r="A15" s="51" t="s">
        <v>72</v>
      </c>
      <c r="B15" s="51" t="s">
        <v>112</v>
      </c>
      <c r="C15" s="51" t="s">
        <v>88</v>
      </c>
      <c r="D15" s="51" t="s">
        <v>113</v>
      </c>
      <c r="E15" s="51" t="s">
        <v>117</v>
      </c>
      <c r="F15" s="51" t="s">
        <v>102</v>
      </c>
      <c r="G15" s="39"/>
      <c r="H15" s="51" t="s">
        <v>80</v>
      </c>
      <c r="I15" s="51" t="s">
        <v>112</v>
      </c>
      <c r="J15" s="51" t="s">
        <v>88</v>
      </c>
      <c r="K15" s="51" t="s">
        <v>113</v>
      </c>
      <c r="L15" s="51" t="s">
        <v>117</v>
      </c>
      <c r="M15" s="51" t="s">
        <v>102</v>
      </c>
      <c r="N15" s="39"/>
      <c r="O15" s="39"/>
      <c r="P15" s="51" t="s">
        <v>72</v>
      </c>
      <c r="Q15" s="51" t="s">
        <v>117</v>
      </c>
      <c r="R15" s="51" t="s">
        <v>102</v>
      </c>
    </row>
    <row r="16" spans="1:18" ht="15">
      <c r="A16" s="39" t="s">
        <v>118</v>
      </c>
      <c r="B16" s="39">
        <f>IF($G$2="Tous",COUNTIFS('Calendrier éditorial'!$E$6:$E$305,"Publiée",'Calendrier éditorial'!$D$6:$D$305,A16),COUNTIFS('Calendrier éditorial'!$E$6:$E$305,"Publiée",'Calendrier éditorial'!$D$6:$D$305,A16,'Calendrier éditorial'!$C$6:$C$305,$G$2))</f>
        <v>0</v>
      </c>
      <c r="C16" s="39">
        <f>IF($G$2="Tous",SUMIFS('Calendrier éditorial'!$T$6:$T$305,'Calendrier éditorial'!$E$6:$E$305,"Publiée",'Calendrier éditorial'!$D$6:$D$305,A16),SUMIFS('Calendrier éditorial'!$T$6:$T$305,'Calendrier éditorial'!$E$6:$E$305,"Publiée",'Calendrier éditorial'!$D$6:$D$305,A16,'Calendrier éditorial'!$C$6:$C$305,$G$2))</f>
        <v>0</v>
      </c>
      <c r="D16" s="39">
        <f>IF($G$2="Tous",SUMIFS('Calendrier éditorial'!$AA$6:$AA$305,'Calendrier éditorial'!$E$6:$E$305,"Publiée",'Calendrier éditorial'!$D$6:$D$305,A16),SUMIFS('Calendrier éditorial'!$AA$6:$AA$305,'Calendrier éditorial'!$E$6:$E$305,"Publiée",'Calendrier éditorial'!$D$6:$D$305,A16,'Calendrier éditorial'!$C$6:$C$305,$G$2))</f>
        <v>0</v>
      </c>
      <c r="E16" s="39">
        <f>IF($G$2="Tous",SUMIFS('Calendrier éditorial'!$AE$6:$AE$305,'Calendrier éditorial'!$E$6:$E$305,"Publiée",'Calendrier éditorial'!$D$6:$D$305,A16),SUMIFS('Calendrier éditorial'!$AE$6:$AE$305,'Calendrier éditorial'!$E$6:$E$305,"Publiée",'Calendrier éditorial'!$D$6:$D$305,A16,'Calendrier éditorial'!$C$6:$C$305,$G$2))</f>
        <v>0</v>
      </c>
      <c r="F16" s="50">
        <f>IF($G$2="Tous",SUMIFS('Calendrier éditorial'!$AH$6:$AH$305,'Calendrier éditorial'!$E$6:$E$305,"Publiée",'Calendrier éditorial'!$D$6:$D$305,A16),SUMIFS('Calendrier éditorial'!$AH$6:$AH$305,'Calendrier éditorial'!$E$6:$E$305,"Publiée",'Calendrier éditorial'!$D$6:$D$305,A16,'Calendrier éditorial'!$C$6:$C$305,$G$2))</f>
        <v>0</v>
      </c>
      <c r="G16" s="39"/>
      <c r="H16" s="39" t="s">
        <v>119</v>
      </c>
      <c r="I16" s="39">
        <f>IF($C$2="Toutes",COUNTIFS('Calendrier éditorial'!$E$6:$E$305,"Publiée",'Calendrier éditorial'!$L$6:$L$305,H16),COUNTIFS('Calendrier éditorial'!$E$6:$E$305,"Publiée",'Calendrier éditorial'!$L$6:$L$305,H16,'Calendrier éditorial'!$D$6:$D$305,$C$2))</f>
        <v>0</v>
      </c>
      <c r="J16" s="39">
        <f>IF($C$2="Toutes",SUMIFS('Calendrier éditorial'!$T$6:$T$305,'Calendrier éditorial'!$E$6:$E$305,"Publiée",'Calendrier éditorial'!$L$6:$L$305,H16),SUMIFS('Calendrier éditorial'!$T$6:$T$305,'Calendrier éditorial'!$E$6:$E$305,"Publiée",'Calendrier éditorial'!$L$6:$L$305,H16,'Calendrier éditorial'!$D$6:$D$305,$C$2))</f>
        <v>0</v>
      </c>
      <c r="K16" s="39">
        <f>IF($C$2="Toutes",SUMIFS('Calendrier éditorial'!$AA$6:$AA$305,'Calendrier éditorial'!$E$6:$E$305,"Publiée",'Calendrier éditorial'!$L$6:$L$305,H16),SUMIFS('Calendrier éditorial'!$AA$6:$AA$305,'Calendrier éditorial'!$E$6:$E$305,"Publiée",'Calendrier éditorial'!$L$6:$L$305,H16,'Calendrier éditorial'!$D$6:$D$305,$C$2))</f>
        <v>0</v>
      </c>
      <c r="L16" s="39">
        <f>IF($C$2="Toutes",SUMIFS('Calendrier éditorial'!$AE$6:$AE$305,'Calendrier éditorial'!$E$6:$E$305,"Publiée",'Calendrier éditorial'!$L$6:$L$305,H16),SUMIFS('Calendrier éditorial'!$AE$6:$AE$305,'Calendrier éditorial'!$E$6:$E$305,"Publiée",'Calendrier éditorial'!$L$6:$L$305,H16,'Calendrier éditorial'!$D$6:$D$305,$C$2))</f>
        <v>0</v>
      </c>
      <c r="M16" s="50">
        <f>IF($C$2="Toutes",SUMIFS('Calendrier éditorial'!$AH$6:$AH$305,'Calendrier éditorial'!$E$6:$E$305,"Publiée",'Calendrier éditorial'!$L$6:$L$305,H16),SUMIFS('Calendrier éditorial'!$AH$6:$AH$305,'Calendrier éditorial'!$E$6:$E$305,"Publiée",'Calendrier éditorial'!$L$6:$L$305,H16,'Calendrier éditorial'!$D$6:$D$305,$C$2))</f>
        <v>0</v>
      </c>
      <c r="N16" s="39"/>
      <c r="O16" s="39"/>
      <c r="P16" s="39" t="str">
        <f>A16</f>
        <v>Facebook</v>
      </c>
      <c r="Q16" s="39">
        <f t="shared" ref="Q16:R19" si="0">E16</f>
        <v>0</v>
      </c>
      <c r="R16" s="50">
        <f t="shared" si="0"/>
        <v>0</v>
      </c>
    </row>
    <row r="17" spans="1:18" ht="15">
      <c r="A17" s="39" t="s">
        <v>120</v>
      </c>
      <c r="B17" s="39">
        <f>IF($G$2="Tous",COUNTIFS('Calendrier éditorial'!$E$6:$E$305,"Publiée",'Calendrier éditorial'!$D$6:$D$305,A17),COUNTIFS('Calendrier éditorial'!$E$6:$E$305,"Publiée",'Calendrier éditorial'!$D$6:$D$305,A17,'Calendrier éditorial'!$C$6:$C$305,$G$2))</f>
        <v>0</v>
      </c>
      <c r="C17" s="39">
        <f>IF($G$2="Tous",SUMIFS('Calendrier éditorial'!$T$6:$T$305,'Calendrier éditorial'!$E$6:$E$305,"Publiée",'Calendrier éditorial'!$D$6:$D$305,A17),SUMIFS('Calendrier éditorial'!$T$6:$T$305,'Calendrier éditorial'!$E$6:$E$305,"Publiée",'Calendrier éditorial'!$D$6:$D$305,A17,'Calendrier éditorial'!$C$6:$C$305,$G$2))</f>
        <v>0</v>
      </c>
      <c r="D17" s="39">
        <f>IF($G$2="Tous",SUMIFS('Calendrier éditorial'!$AA$6:$AA$305,'Calendrier éditorial'!$E$6:$E$305,"Publiée",'Calendrier éditorial'!$D$6:$D$305,A17),SUMIFS('Calendrier éditorial'!$AA$6:$AA$305,'Calendrier éditorial'!$E$6:$E$305,"Publiée",'Calendrier éditorial'!$D$6:$D$305,A17,'Calendrier éditorial'!$C$6:$C$305,$G$2))</f>
        <v>0</v>
      </c>
      <c r="E17" s="39">
        <f>IF($G$2="Tous",SUMIFS('Calendrier éditorial'!$AE$6:$AE$305,'Calendrier éditorial'!$E$6:$E$305,"Publiée",'Calendrier éditorial'!$D$6:$D$305,A17),SUMIFS('Calendrier éditorial'!$AE$6:$AE$305,'Calendrier éditorial'!$E$6:$E$305,"Publiée",'Calendrier éditorial'!$D$6:$D$305,A17,'Calendrier éditorial'!$C$6:$C$305,$G$2))</f>
        <v>0</v>
      </c>
      <c r="F17" s="50">
        <f>IF($G$2="Tous",SUMIFS('Calendrier éditorial'!$AH$6:$AH$305,'Calendrier éditorial'!$E$6:$E$305,"Publiée",'Calendrier éditorial'!$D$6:$D$305,A17),SUMIFS('Calendrier éditorial'!$AH$6:$AH$305,'Calendrier éditorial'!$E$6:$E$305,"Publiée",'Calendrier éditorial'!$D$6:$D$305,A17,'Calendrier éditorial'!$C$6:$C$305,$G$2))</f>
        <v>0</v>
      </c>
      <c r="G17" s="39"/>
      <c r="H17" s="39" t="s">
        <v>121</v>
      </c>
      <c r="I17" s="39">
        <f>IF($C$2="Toutes",COUNTIFS('Calendrier éditorial'!$E$6:$E$305,"Publiée",'Calendrier éditorial'!$L$6:$L$305,H17),COUNTIFS('Calendrier éditorial'!$E$6:$E$305,"Publiée",'Calendrier éditorial'!$L$6:$L$305,H17,'Calendrier éditorial'!$D$6:$D$305,$C$2))</f>
        <v>0</v>
      </c>
      <c r="J17" s="39">
        <f>IF($C$2="Toutes",SUMIFS('Calendrier éditorial'!$T$6:$T$305,'Calendrier éditorial'!$E$6:$E$305,"Publiée",'Calendrier éditorial'!$L$6:$L$305,H17),SUMIFS('Calendrier éditorial'!$T$6:$T$305,'Calendrier éditorial'!$E$6:$E$305,"Publiée",'Calendrier éditorial'!$L$6:$L$305,H17,'Calendrier éditorial'!$D$6:$D$305,$C$2))</f>
        <v>0</v>
      </c>
      <c r="K17" s="39">
        <f>IF($C$2="Toutes",SUMIFS('Calendrier éditorial'!$AA$6:$AA$305,'Calendrier éditorial'!$E$6:$E$305,"Publiée",'Calendrier éditorial'!$L$6:$L$305,H17),SUMIFS('Calendrier éditorial'!$AA$6:$AA$305,'Calendrier éditorial'!$E$6:$E$305,"Publiée",'Calendrier éditorial'!$L$6:$L$305,H17,'Calendrier éditorial'!$D$6:$D$305,$C$2))</f>
        <v>0</v>
      </c>
      <c r="L17" s="39">
        <f>IF($C$2="Toutes",SUMIFS('Calendrier éditorial'!$AE$6:$AE$305,'Calendrier éditorial'!$E$6:$E$305,"Publiée",'Calendrier éditorial'!$L$6:$L$305,H17),SUMIFS('Calendrier éditorial'!$AE$6:$AE$305,'Calendrier éditorial'!$E$6:$E$305,"Publiée",'Calendrier éditorial'!$L$6:$L$305,H17,'Calendrier éditorial'!$D$6:$D$305,$C$2))</f>
        <v>0</v>
      </c>
      <c r="M17" s="50">
        <f>IF($C$2="Toutes",SUMIFS('Calendrier éditorial'!$AH$6:$AH$305,'Calendrier éditorial'!$E$6:$E$305,"Publiée",'Calendrier éditorial'!$L$6:$L$305,H17),SUMIFS('Calendrier éditorial'!$AH$6:$AH$305,'Calendrier éditorial'!$E$6:$E$305,"Publiée",'Calendrier éditorial'!$L$6:$L$305,H17,'Calendrier éditorial'!$D$6:$D$305,$C$2))</f>
        <v>0</v>
      </c>
      <c r="N17" s="39"/>
      <c r="O17" s="39"/>
      <c r="P17" s="39" t="str">
        <f>A17</f>
        <v>Instagram</v>
      </c>
      <c r="Q17" s="39">
        <f t="shared" si="0"/>
        <v>0</v>
      </c>
      <c r="R17" s="50">
        <f t="shared" si="0"/>
        <v>0</v>
      </c>
    </row>
    <row r="18" spans="1:18" ht="15">
      <c r="A18" s="39" t="s">
        <v>122</v>
      </c>
      <c r="B18" s="39">
        <f>IF($G$2="Tous",COUNTIFS('Calendrier éditorial'!$E$6:$E$305,"Publiée",'Calendrier éditorial'!$D$6:$D$305,A18),COUNTIFS('Calendrier éditorial'!$E$6:$E$305,"Publiée",'Calendrier éditorial'!$D$6:$D$305,A18,'Calendrier éditorial'!$C$6:$C$305,$G$2))</f>
        <v>0</v>
      </c>
      <c r="C18" s="39">
        <f>IF($G$2="Tous",SUMIFS('Calendrier éditorial'!$T$6:$T$305,'Calendrier éditorial'!$E$6:$E$305,"Publiée",'Calendrier éditorial'!$D$6:$D$305,A18),SUMIFS('Calendrier éditorial'!$T$6:$T$305,'Calendrier éditorial'!$E$6:$E$305,"Publiée",'Calendrier éditorial'!$D$6:$D$305,A18,'Calendrier éditorial'!$C$6:$C$305,$G$2))</f>
        <v>0</v>
      </c>
      <c r="D18" s="39">
        <f>IF($G$2="Tous",SUMIFS('Calendrier éditorial'!$AA$6:$AA$305,'Calendrier éditorial'!$E$6:$E$305,"Publiée",'Calendrier éditorial'!$D$6:$D$305,A18),SUMIFS('Calendrier éditorial'!$AA$6:$AA$305,'Calendrier éditorial'!$E$6:$E$305,"Publiée",'Calendrier éditorial'!$D$6:$D$305,A18,'Calendrier éditorial'!$C$6:$C$305,$G$2))</f>
        <v>0</v>
      </c>
      <c r="E18" s="39">
        <f>IF($G$2="Tous",SUMIFS('Calendrier éditorial'!$AE$6:$AE$305,'Calendrier éditorial'!$E$6:$E$305,"Publiée",'Calendrier éditorial'!$D$6:$D$305,A18),SUMIFS('Calendrier éditorial'!$AE$6:$AE$305,'Calendrier éditorial'!$E$6:$E$305,"Publiée",'Calendrier éditorial'!$D$6:$D$305,A18,'Calendrier éditorial'!$C$6:$C$305,$G$2))</f>
        <v>0</v>
      </c>
      <c r="F18" s="50">
        <f>IF($G$2="Tous",SUMIFS('Calendrier éditorial'!$AH$6:$AH$305,'Calendrier éditorial'!$E$6:$E$305,"Publiée",'Calendrier éditorial'!$D$6:$D$305,A18),SUMIFS('Calendrier éditorial'!$AH$6:$AH$305,'Calendrier éditorial'!$E$6:$E$305,"Publiée",'Calendrier éditorial'!$D$6:$D$305,A18,'Calendrier éditorial'!$C$6:$C$305,$G$2))</f>
        <v>0</v>
      </c>
      <c r="G18" s="39"/>
      <c r="H18" s="39" t="s">
        <v>123</v>
      </c>
      <c r="I18" s="39">
        <f>IF($C$2="Toutes",COUNTIFS('Calendrier éditorial'!$E$6:$E$305,"Publiée",'Calendrier éditorial'!$L$6:$L$305,H18),COUNTIFS('Calendrier éditorial'!$E$6:$E$305,"Publiée",'Calendrier éditorial'!$L$6:$L$305,H18,'Calendrier éditorial'!$D$6:$D$305,$C$2))</f>
        <v>0</v>
      </c>
      <c r="J18" s="39">
        <f>IF($C$2="Toutes",SUMIFS('Calendrier éditorial'!$T$6:$T$305,'Calendrier éditorial'!$E$6:$E$305,"Publiée",'Calendrier éditorial'!$L$6:$L$305,H18),SUMIFS('Calendrier éditorial'!$T$6:$T$305,'Calendrier éditorial'!$E$6:$E$305,"Publiée",'Calendrier éditorial'!$L$6:$L$305,H18,'Calendrier éditorial'!$D$6:$D$305,$C$2))</f>
        <v>0</v>
      </c>
      <c r="K18" s="39">
        <f>IF($C$2="Toutes",SUMIFS('Calendrier éditorial'!$AA$6:$AA$305,'Calendrier éditorial'!$E$6:$E$305,"Publiée",'Calendrier éditorial'!$L$6:$L$305,H18),SUMIFS('Calendrier éditorial'!$AA$6:$AA$305,'Calendrier éditorial'!$E$6:$E$305,"Publiée",'Calendrier éditorial'!$L$6:$L$305,H18,'Calendrier éditorial'!$D$6:$D$305,$C$2))</f>
        <v>0</v>
      </c>
      <c r="L18" s="39">
        <f>IF($C$2="Toutes",SUMIFS('Calendrier éditorial'!$AE$6:$AE$305,'Calendrier éditorial'!$E$6:$E$305,"Publiée",'Calendrier éditorial'!$L$6:$L$305,H18),SUMIFS('Calendrier éditorial'!$AE$6:$AE$305,'Calendrier éditorial'!$E$6:$E$305,"Publiée",'Calendrier éditorial'!$L$6:$L$305,H18,'Calendrier éditorial'!$D$6:$D$305,$C$2))</f>
        <v>0</v>
      </c>
      <c r="M18" s="50">
        <f>IF($C$2="Toutes",SUMIFS('Calendrier éditorial'!$AH$6:$AH$305,'Calendrier éditorial'!$E$6:$E$305,"Publiée",'Calendrier éditorial'!$L$6:$L$305,H18),SUMIFS('Calendrier éditorial'!$AH$6:$AH$305,'Calendrier éditorial'!$E$6:$E$305,"Publiée",'Calendrier éditorial'!$L$6:$L$305,H18,'Calendrier éditorial'!$D$6:$D$305,$C$2))</f>
        <v>0</v>
      </c>
      <c r="N18" s="39"/>
      <c r="O18" s="39"/>
      <c r="P18" s="39" t="str">
        <f>A18</f>
        <v>TikTok</v>
      </c>
      <c r="Q18" s="39">
        <f t="shared" si="0"/>
        <v>0</v>
      </c>
      <c r="R18" s="50">
        <f t="shared" si="0"/>
        <v>0</v>
      </c>
    </row>
    <row r="19" spans="1:18" ht="15">
      <c r="A19" s="39" t="s">
        <v>124</v>
      </c>
      <c r="B19" s="39">
        <f>IF($G$2="Tous",COUNTIFS('Calendrier éditorial'!$E$6:$E$305,"Publiée",'Calendrier éditorial'!$D$6:$D$305,A19),COUNTIFS('Calendrier éditorial'!$E$6:$E$305,"Publiée",'Calendrier éditorial'!$D$6:$D$305,A19,'Calendrier éditorial'!$C$6:$C$305,$G$2))</f>
        <v>0</v>
      </c>
      <c r="C19" s="39">
        <f>IF($G$2="Tous",SUMIFS('Calendrier éditorial'!$T$6:$T$305,'Calendrier éditorial'!$E$6:$E$305,"Publiée",'Calendrier éditorial'!$D$6:$D$305,A19),SUMIFS('Calendrier éditorial'!$T$6:$T$305,'Calendrier éditorial'!$E$6:$E$305,"Publiée",'Calendrier éditorial'!$D$6:$D$305,A19,'Calendrier éditorial'!$C$6:$C$305,$G$2))</f>
        <v>0</v>
      </c>
      <c r="D19" s="39">
        <f>IF($G$2="Tous",SUMIFS('Calendrier éditorial'!$AA$6:$AA$305,'Calendrier éditorial'!$E$6:$E$305,"Publiée",'Calendrier éditorial'!$D$6:$D$305,A19),SUMIFS('Calendrier éditorial'!$AA$6:$AA$305,'Calendrier éditorial'!$E$6:$E$305,"Publiée",'Calendrier éditorial'!$D$6:$D$305,A19,'Calendrier éditorial'!$C$6:$C$305,$G$2))</f>
        <v>0</v>
      </c>
      <c r="E19" s="39">
        <f>IF($G$2="Tous",SUMIFS('Calendrier éditorial'!$AE$6:$AE$305,'Calendrier éditorial'!$E$6:$E$305,"Publiée",'Calendrier éditorial'!$D$6:$D$305,A19),SUMIFS('Calendrier éditorial'!$AE$6:$AE$305,'Calendrier éditorial'!$E$6:$E$305,"Publiée",'Calendrier éditorial'!$D$6:$D$305,A19,'Calendrier éditorial'!$C$6:$C$305,$G$2))</f>
        <v>0</v>
      </c>
      <c r="F19" s="50">
        <f>IF($G$2="Tous",SUMIFS('Calendrier éditorial'!$AH$6:$AH$305,'Calendrier éditorial'!$E$6:$E$305,"Publiée",'Calendrier éditorial'!$D$6:$D$305,A19),SUMIFS('Calendrier éditorial'!$AH$6:$AH$305,'Calendrier éditorial'!$E$6:$E$305,"Publiée",'Calendrier éditorial'!$D$6:$D$305,A19,'Calendrier éditorial'!$C$6:$C$305,$G$2))</f>
        <v>0</v>
      </c>
      <c r="G19" s="39"/>
      <c r="H19" s="39" t="s">
        <v>125</v>
      </c>
      <c r="I19" s="39">
        <f>IF($C$2="Toutes",COUNTIFS('Calendrier éditorial'!$E$6:$E$305,"Publiée",'Calendrier éditorial'!$L$6:$L$305,H19),COUNTIFS('Calendrier éditorial'!$E$6:$E$305,"Publiée",'Calendrier éditorial'!$L$6:$L$305,H19,'Calendrier éditorial'!$D$6:$D$305,$C$2))</f>
        <v>0</v>
      </c>
      <c r="J19" s="39">
        <f>IF($C$2="Toutes",SUMIFS('Calendrier éditorial'!$T$6:$T$305,'Calendrier éditorial'!$E$6:$E$305,"Publiée",'Calendrier éditorial'!$L$6:$L$305,H19),SUMIFS('Calendrier éditorial'!$T$6:$T$305,'Calendrier éditorial'!$E$6:$E$305,"Publiée",'Calendrier éditorial'!$L$6:$L$305,H19,'Calendrier éditorial'!$D$6:$D$305,$C$2))</f>
        <v>0</v>
      </c>
      <c r="K19" s="39">
        <f>IF($C$2="Toutes",SUMIFS('Calendrier éditorial'!$AA$6:$AA$305,'Calendrier éditorial'!$E$6:$E$305,"Publiée",'Calendrier éditorial'!$L$6:$L$305,H19),SUMIFS('Calendrier éditorial'!$AA$6:$AA$305,'Calendrier éditorial'!$E$6:$E$305,"Publiée",'Calendrier éditorial'!$L$6:$L$305,H19,'Calendrier éditorial'!$D$6:$D$305,$C$2))</f>
        <v>0</v>
      </c>
      <c r="L19" s="39">
        <f>IF($C$2="Toutes",SUMIFS('Calendrier éditorial'!$AE$6:$AE$305,'Calendrier éditorial'!$E$6:$E$305,"Publiée",'Calendrier éditorial'!$L$6:$L$305,H19),SUMIFS('Calendrier éditorial'!$AE$6:$AE$305,'Calendrier éditorial'!$E$6:$E$305,"Publiée",'Calendrier éditorial'!$L$6:$L$305,H19,'Calendrier éditorial'!$D$6:$D$305,$C$2))</f>
        <v>0</v>
      </c>
      <c r="M19" s="50">
        <f>IF($C$2="Toutes",SUMIFS('Calendrier éditorial'!$AH$6:$AH$305,'Calendrier éditorial'!$E$6:$E$305,"Publiée",'Calendrier éditorial'!$L$6:$L$305,H19),SUMIFS('Calendrier éditorial'!$AH$6:$AH$305,'Calendrier éditorial'!$E$6:$E$305,"Publiée",'Calendrier éditorial'!$L$6:$L$305,H19,'Calendrier éditorial'!$D$6:$D$305,$C$2))</f>
        <v>0</v>
      </c>
      <c r="N19" s="39"/>
      <c r="O19" s="39"/>
      <c r="P19" s="39" t="str">
        <f>A19</f>
        <v>YouTube</v>
      </c>
      <c r="Q19" s="39">
        <f t="shared" si="0"/>
        <v>0</v>
      </c>
      <c r="R19" s="50">
        <f t="shared" si="0"/>
        <v>0</v>
      </c>
    </row>
    <row r="20" spans="1:18" ht="15">
      <c r="A20" s="39"/>
      <c r="B20" s="39"/>
      <c r="C20" s="39"/>
      <c r="D20" s="39"/>
      <c r="E20" s="39"/>
      <c r="F20" s="39"/>
      <c r="G20" s="39"/>
      <c r="H20" s="39" t="s">
        <v>126</v>
      </c>
      <c r="I20" s="39">
        <f>IF($C$2="Toutes",COUNTIFS('Calendrier éditorial'!$E$6:$E$305,"Publiée",'Calendrier éditorial'!$L$6:$L$305,H20),COUNTIFS('Calendrier éditorial'!$E$6:$E$305,"Publiée",'Calendrier éditorial'!$L$6:$L$305,H20,'Calendrier éditorial'!$D$6:$D$305,$C$2))</f>
        <v>0</v>
      </c>
      <c r="J20" s="39">
        <f>IF($C$2="Toutes",SUMIFS('Calendrier éditorial'!$T$6:$T$305,'Calendrier éditorial'!$E$6:$E$305,"Publiée",'Calendrier éditorial'!$L$6:$L$305,H20),SUMIFS('Calendrier éditorial'!$T$6:$T$305,'Calendrier éditorial'!$E$6:$E$305,"Publiée",'Calendrier éditorial'!$L$6:$L$305,H20,'Calendrier éditorial'!$D$6:$D$305,$C$2))</f>
        <v>0</v>
      </c>
      <c r="K20" s="39">
        <f>IF($C$2="Toutes",SUMIFS('Calendrier éditorial'!$AA$6:$AA$305,'Calendrier éditorial'!$E$6:$E$305,"Publiée",'Calendrier éditorial'!$L$6:$L$305,H20),SUMIFS('Calendrier éditorial'!$AA$6:$AA$305,'Calendrier éditorial'!$E$6:$E$305,"Publiée",'Calendrier éditorial'!$L$6:$L$305,H20,'Calendrier éditorial'!$D$6:$D$305,$C$2))</f>
        <v>0</v>
      </c>
      <c r="L20" s="39">
        <f>IF($C$2="Toutes",SUMIFS('Calendrier éditorial'!$AE$6:$AE$305,'Calendrier éditorial'!$E$6:$E$305,"Publiée",'Calendrier éditorial'!$L$6:$L$305,H20),SUMIFS('Calendrier éditorial'!$AE$6:$AE$305,'Calendrier éditorial'!$E$6:$E$305,"Publiée",'Calendrier éditorial'!$L$6:$L$305,H20,'Calendrier éditorial'!$D$6:$D$305,$C$2))</f>
        <v>0</v>
      </c>
      <c r="M20" s="50">
        <f>IF($C$2="Toutes",SUMIFS('Calendrier éditorial'!$AH$6:$AH$305,'Calendrier éditorial'!$E$6:$E$305,"Publiée",'Calendrier éditorial'!$L$6:$L$305,H20),SUMIFS('Calendrier éditorial'!$AH$6:$AH$305,'Calendrier éditorial'!$E$6:$E$305,"Publiée",'Calendrier éditorial'!$L$6:$L$305,H20,'Calendrier éditorial'!$D$6:$D$305,$C$2))</f>
        <v>0</v>
      </c>
      <c r="N20" s="39"/>
      <c r="O20" s="39"/>
      <c r="P20" s="39"/>
      <c r="Q20" s="39"/>
      <c r="R20" s="39"/>
    </row>
    <row r="21" spans="1:18" ht="15">
      <c r="A21" s="39"/>
      <c r="B21" s="39"/>
      <c r="C21" s="39"/>
      <c r="D21" s="39"/>
      <c r="E21" s="39"/>
      <c r="F21" s="39"/>
      <c r="G21" s="39"/>
      <c r="H21" s="39" t="s">
        <v>127</v>
      </c>
      <c r="I21" s="39">
        <f>IF($C$2="Toutes",COUNTIFS('Calendrier éditorial'!$E$6:$E$305,"Publiée",'Calendrier éditorial'!$L$6:$L$305,H21),COUNTIFS('Calendrier éditorial'!$E$6:$E$305,"Publiée",'Calendrier éditorial'!$L$6:$L$305,H21,'Calendrier éditorial'!$D$6:$D$305,$C$2))</f>
        <v>0</v>
      </c>
      <c r="J21" s="39">
        <f>IF($C$2="Toutes",SUMIFS('Calendrier éditorial'!$T$6:$T$305,'Calendrier éditorial'!$E$6:$E$305,"Publiée",'Calendrier éditorial'!$L$6:$L$305,H21),SUMIFS('Calendrier éditorial'!$T$6:$T$305,'Calendrier éditorial'!$E$6:$E$305,"Publiée",'Calendrier éditorial'!$L$6:$L$305,H21,'Calendrier éditorial'!$D$6:$D$305,$C$2))</f>
        <v>0</v>
      </c>
      <c r="K21" s="39">
        <f>IF($C$2="Toutes",SUMIFS('Calendrier éditorial'!$AA$6:$AA$305,'Calendrier éditorial'!$E$6:$E$305,"Publiée",'Calendrier éditorial'!$L$6:$L$305,H21),SUMIFS('Calendrier éditorial'!$AA$6:$AA$305,'Calendrier éditorial'!$E$6:$E$305,"Publiée",'Calendrier éditorial'!$L$6:$L$305,H21,'Calendrier éditorial'!$D$6:$D$305,$C$2))</f>
        <v>0</v>
      </c>
      <c r="L21" s="39">
        <f>IF($C$2="Toutes",SUMIFS('Calendrier éditorial'!$AE$6:$AE$305,'Calendrier éditorial'!$E$6:$E$305,"Publiée",'Calendrier éditorial'!$L$6:$L$305,H21),SUMIFS('Calendrier éditorial'!$AE$6:$AE$305,'Calendrier éditorial'!$E$6:$E$305,"Publiée",'Calendrier éditorial'!$L$6:$L$305,H21,'Calendrier éditorial'!$D$6:$D$305,$C$2))</f>
        <v>0</v>
      </c>
      <c r="M21" s="50">
        <f>IF($C$2="Toutes",SUMIFS('Calendrier éditorial'!$AH$6:$AH$305,'Calendrier éditorial'!$E$6:$E$305,"Publiée",'Calendrier éditorial'!$L$6:$L$305,H21),SUMIFS('Calendrier éditorial'!$AH$6:$AH$305,'Calendrier éditorial'!$E$6:$E$305,"Publiée",'Calendrier éditorial'!$L$6:$L$305,H21,'Calendrier éditorial'!$D$6:$D$305,$C$2))</f>
        <v>0</v>
      </c>
      <c r="N21" s="39"/>
      <c r="O21" s="39"/>
      <c r="P21" s="39"/>
      <c r="Q21" s="39"/>
      <c r="R21" s="39"/>
    </row>
    <row r="22" spans="1:18" ht="1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</row>
    <row r="23" spans="1:18" ht="45.25" customHeight="1">
      <c r="A23" s="80" t="s">
        <v>165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</row>
    <row r="24" spans="1:18" ht="1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</row>
    <row r="25" spans="1:18" ht="1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</row>
    <row r="26" spans="1:18" ht="1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</row>
    <row r="27" spans="1:18" ht="1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</row>
    <row r="28" spans="1:18" ht="1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</row>
    <row r="29" spans="1:18" ht="1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</row>
    <row r="30" spans="1:18" ht="1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</row>
    <row r="31" spans="1:18" ht="1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</row>
    <row r="32" spans="1:18" ht="1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</row>
    <row r="33" spans="1:18" ht="1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</row>
    <row r="34" spans="1:18" ht="1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</row>
    <row r="35" spans="1:18" ht="1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</row>
    <row r="36" spans="1:18" ht="1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</row>
    <row r="37" spans="1:18" ht="1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</row>
    <row r="38" spans="1:18" ht="1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</row>
    <row r="39" spans="1:18" ht="1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</row>
    <row r="40" spans="1:18" ht="1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</row>
    <row r="41" spans="1:18" ht="1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</row>
    <row r="42" spans="1:18" ht="1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</row>
    <row r="43" spans="1:18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</row>
    <row r="44" spans="1:18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</row>
    <row r="45" spans="1:18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</row>
  </sheetData>
  <mergeCells count="4">
    <mergeCell ref="A1:R1"/>
    <mergeCell ref="B3:R3"/>
    <mergeCell ref="A13:R13"/>
    <mergeCell ref="A23:R23"/>
  </mergeCells>
  <dataValidations count="2">
    <dataValidation type="list" sqref="C2" xr:uid="{00000000-0002-0000-0300-000000000000}">
      <formula1>"Toutes,Facebook,Instagram,TikTok,YouTube"</formula1>
    </dataValidation>
    <dataValidation type="list" sqref="G2" xr:uid="{00000000-0002-0000-0300-000001000000}">
      <formula1>"Tous,Janvier,Février,Mars,Avril,Mai,Juin,Juillet,Août,Septembre,Octobre,Novembre,Décembre"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2"/>
  <sheetViews>
    <sheetView workbookViewId="0">
      <selection activeCell="B17" sqref="B17"/>
    </sheetView>
  </sheetViews>
  <sheetFormatPr baseColWidth="10" defaultColWidth="8.83203125" defaultRowHeight="14"/>
  <cols>
    <col min="1" max="1" width="24" customWidth="1"/>
    <col min="2" max="2" width="48" customWidth="1"/>
    <col min="3" max="3" width="28" customWidth="1"/>
    <col min="4" max="4" width="46" customWidth="1"/>
  </cols>
  <sheetData>
    <row r="1" spans="1:4" ht="20">
      <c r="A1" s="86" t="s">
        <v>128</v>
      </c>
      <c r="B1" s="86"/>
      <c r="C1" s="86"/>
      <c r="D1" s="86"/>
    </row>
    <row r="2" spans="1:4" ht="15">
      <c r="A2" s="3"/>
      <c r="B2" s="3"/>
      <c r="C2" s="3"/>
      <c r="D2" s="3"/>
    </row>
    <row r="3" spans="1:4" ht="16">
      <c r="A3" s="87" t="s">
        <v>129</v>
      </c>
      <c r="B3" s="87" t="s">
        <v>130</v>
      </c>
      <c r="C3" s="87" t="s">
        <v>131</v>
      </c>
      <c r="D3" s="87" t="s">
        <v>132</v>
      </c>
    </row>
    <row r="4" spans="1:4" ht="32">
      <c r="A4" s="67" t="s">
        <v>87</v>
      </c>
      <c r="B4" s="67" t="s">
        <v>133</v>
      </c>
      <c r="C4" s="67" t="s">
        <v>134</v>
      </c>
      <c r="D4" s="67" t="s">
        <v>135</v>
      </c>
    </row>
    <row r="5" spans="1:4" ht="32">
      <c r="A5" s="67" t="s">
        <v>88</v>
      </c>
      <c r="B5" s="67" t="s">
        <v>136</v>
      </c>
      <c r="C5" s="67" t="s">
        <v>137</v>
      </c>
      <c r="D5" s="67" t="s">
        <v>138</v>
      </c>
    </row>
    <row r="6" spans="1:4" ht="32">
      <c r="A6" s="67" t="s">
        <v>95</v>
      </c>
      <c r="B6" s="67" t="s">
        <v>139</v>
      </c>
      <c r="C6" s="67" t="s">
        <v>166</v>
      </c>
      <c r="D6" s="67" t="s">
        <v>140</v>
      </c>
    </row>
    <row r="7" spans="1:4" ht="16">
      <c r="A7" s="67" t="s">
        <v>96</v>
      </c>
      <c r="B7" s="67" t="s">
        <v>141</v>
      </c>
      <c r="C7" s="67" t="s">
        <v>167</v>
      </c>
      <c r="D7" s="67" t="s">
        <v>140</v>
      </c>
    </row>
    <row r="8" spans="1:4" ht="32">
      <c r="A8" s="67" t="s">
        <v>99</v>
      </c>
      <c r="B8" s="67" t="s">
        <v>142</v>
      </c>
      <c r="C8" s="67" t="s">
        <v>143</v>
      </c>
      <c r="D8" s="67" t="s">
        <v>144</v>
      </c>
    </row>
    <row r="9" spans="1:4" ht="16">
      <c r="A9" s="67" t="s">
        <v>100</v>
      </c>
      <c r="B9" s="67" t="s">
        <v>145</v>
      </c>
      <c r="C9" s="67" t="s">
        <v>146</v>
      </c>
      <c r="D9" s="67" t="s">
        <v>147</v>
      </c>
    </row>
    <row r="10" spans="1:4" ht="16">
      <c r="A10" s="67" t="s">
        <v>101</v>
      </c>
      <c r="B10" s="67" t="s">
        <v>148</v>
      </c>
      <c r="C10" s="67" t="s">
        <v>149</v>
      </c>
      <c r="D10" s="67" t="s">
        <v>150</v>
      </c>
    </row>
    <row r="11" spans="1:4" ht="32">
      <c r="A11" s="67" t="s">
        <v>102</v>
      </c>
      <c r="B11" s="67" t="s">
        <v>151</v>
      </c>
      <c r="C11" s="67" t="s">
        <v>152</v>
      </c>
      <c r="D11" s="67" t="s">
        <v>153</v>
      </c>
    </row>
    <row r="12" spans="1:4" ht="16">
      <c r="A12" s="67" t="s">
        <v>115</v>
      </c>
      <c r="B12" s="67" t="s">
        <v>154</v>
      </c>
      <c r="C12" s="67" t="s">
        <v>155</v>
      </c>
      <c r="D12" s="67" t="s">
        <v>156</v>
      </c>
    </row>
    <row r="13" spans="1:4" ht="16">
      <c r="A13" s="67" t="s">
        <v>105</v>
      </c>
      <c r="B13" s="67" t="s">
        <v>157</v>
      </c>
      <c r="C13" s="67" t="s">
        <v>168</v>
      </c>
      <c r="D13" s="67" t="s">
        <v>158</v>
      </c>
    </row>
    <row r="14" spans="1:4" ht="15">
      <c r="A14" s="3"/>
      <c r="B14" s="3"/>
      <c r="C14" s="3"/>
      <c r="D14" s="3"/>
    </row>
    <row r="15" spans="1:4" ht="15">
      <c r="A15" s="3"/>
      <c r="B15" s="3"/>
      <c r="C15" s="3"/>
      <c r="D15" s="3"/>
    </row>
    <row r="16" spans="1:4" ht="15">
      <c r="A16" s="3"/>
      <c r="B16" s="3"/>
      <c r="C16" s="3"/>
      <c r="D16" s="3"/>
    </row>
    <row r="17" spans="1:4" ht="15">
      <c r="A17" s="3"/>
      <c r="B17" s="3"/>
      <c r="C17" s="3"/>
      <c r="D17" s="3"/>
    </row>
    <row r="18" spans="1:4" ht="15">
      <c r="A18" s="3"/>
      <c r="B18" s="3"/>
      <c r="C18" s="3"/>
      <c r="D18" s="3"/>
    </row>
    <row r="19" spans="1:4" ht="15">
      <c r="A19" s="3"/>
      <c r="B19" s="3"/>
      <c r="C19" s="3"/>
      <c r="D19" s="3"/>
    </row>
    <row r="20" spans="1:4" ht="15">
      <c r="A20" s="3"/>
      <c r="B20" s="3"/>
      <c r="C20" s="3"/>
      <c r="D20" s="3"/>
    </row>
    <row r="22" spans="1:4">
      <c r="B22" s="88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Paramètres</vt:lpstr>
      <vt:lpstr>Calendrier éditorial</vt:lpstr>
      <vt:lpstr>Tableau de bord</vt:lpstr>
      <vt:lpstr>Glossaire 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Lilime SEMPRONIO</cp:lastModifiedBy>
  <dcterms:created xsi:type="dcterms:W3CDTF">2026-08-01T20:42:23Z</dcterms:created>
  <dcterms:modified xsi:type="dcterms:W3CDTF">2026-08-01T20:43:33Z</dcterms:modified>
</cp:coreProperties>
</file>