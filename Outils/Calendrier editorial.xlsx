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22c251a6a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14121b428639453e"/>
    <x:sheet xmlns:r="http://schemas.openxmlformats.org/officeDocument/2006/relationships" name="Paramètres" sheetId="2" r:id="R25eecc79294f4169"/>
    <x:sheet xmlns:r="http://schemas.openxmlformats.org/officeDocument/2006/relationships" name="Correspondance objectifs" sheetId="3" r:id="R70c8958a11594184"/>
    <x:sheet xmlns:r="http://schemas.openxmlformats.org/officeDocument/2006/relationships" name="Périodicité" sheetId="4" r:id="R73bfb4e6258642bb"/>
    <x:sheet xmlns:r="http://schemas.openxmlformats.org/officeDocument/2006/relationships" name="Dates clés" sheetId="5" r:id="R8fbdf458fd1643d7"/>
    <x:sheet xmlns:r="http://schemas.openxmlformats.org/officeDocument/2006/relationships" name="Guide contenu &amp; IA" sheetId="6" r:id="R17e33c636f3845c5"/>
    <x:sheet xmlns:r="http://schemas.openxmlformats.org/officeDocument/2006/relationships" name="Calendrier éditorial" sheetId="7" r:id="Re581438548254083"/>
    <x:sheet xmlns:r="http://schemas.openxmlformats.org/officeDocument/2006/relationships" name="Tableau de bord" sheetId="8" r:id="R5c66e904095843c9"/>
    <x:sheet xmlns:r="http://schemas.openxmlformats.org/officeDocument/2006/relationships" name="Glossaire KPI" sheetId="9" r:id="R0b69eaee5ad5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"/>
    <x:numFmt numFmtId="202" formatCode="dd/mm/yyyy"/>
    <x:numFmt numFmtId="203" formatCode="hh:mm"/>
    <x:numFmt numFmtId="204" formatCode="0.0%"/>
    <x:numFmt numFmtId="205" formatCode="#,##0.00 &quot;€&quot;"/>
    <x:numFmt numFmtId="206" formatCode="0.0"/>
    <x:numFmt numFmtId="207" formatCode="#,##0"/>
    <x:numFmt numFmtId="208" formatCode="#,##0 &quot;€&quot;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8"/>
      <x:color rgb="FF17324D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2"/>
      </x:patternFill>
    </x:fill>
    <x:fill>
      <x:patternFill patternType="solid">
        <x:fgColor rgb="FFFFF2CC"/>
      </x:patternFill>
    </x:fill>
    <x:fill>
      <x:patternFill patternType="solid">
        <x:fgColor rgb="FF2E5D74"/>
      </x:patternFill>
    </x:fill>
    <x:fill>
      <x:patternFill patternType="solid">
        <x:fgColor rgb="FFEEF1F4"/>
      </x:patternFill>
    </x:fill>
    <x:fill>
      <x:patternFill patternType="solid">
        <x:fgColor rgb="FFFFFFFF"/>
      </x:patternFill>
    </x:fill>
    <x:fill>
      <x:patternFill patternType="solid">
        <x:fgColor rgb="FF2E5F76"/>
      </x:patternFill>
    </x:fill>
    <x:fill>
      <x:patternFill patternType="solid">
        <x:fgColor rgb="FFDDEBF3"/>
      </x:patternFill>
    </x:fill>
    <x:fill>
      <x:patternFill patternType="solid">
        <x:fgColor rgb="FFEEF4F7"/>
      </x:patternFill>
    </x:fill>
    <x:fill>
      <x:patternFill patternType="solid">
        <x:fgColor rgb="FFEAF1F5"/>
      </x:patternFill>
    </x:fill>
  </x:fills>
  <x:borders count="2">
    <x:border/>
    <x:border/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6" borderId="0" xfId="0" applyNumberFormat="1" applyFont="1" applyFill="1" applyBorder="1" applyAlignment="1">
      <x:alignment vertical="top" wrapText="1"/>
    </x:xf>
    <x:xf numFmtId="204" fontId="4" fillId="6" borderId="1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5" fontId="4" fillId="6" borderId="0" xfId="0" applyNumberFormat="1" applyFont="1" applyFill="1" applyBorder="1" applyAlignment="1">
      <x:alignment vertical="top" wrapText="1"/>
    </x:xf>
    <x:xf numFmtId="205" fontId="4" fillId="6" borderId="1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7" fontId="4" fillId="0" borderId="0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207" fontId="4" fillId="6" borderId="0" xfId="0" applyNumberFormat="1" applyFont="1" applyFill="1" applyBorder="1" applyAlignment="1">
      <x:alignment vertical="top" wrapText="1"/>
    </x:xf>
    <x:xf numFmtId="207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 applyAlignment="1">
      <x:alignment horizontal="center" vertical="center"/>
    </x:xf>
    <x:xf numFmtId="201" fontId="9" fillId="3" borderId="0" xfId="0" applyNumberFormat="1" applyFont="1" applyFill="1" applyBorder="1" applyAlignment="1">
      <x:alignment horizontal="center" vertical="center"/>
    </x:xf>
    <x:xf numFmtId="201" fontId="9" fillId="3" borderId="1" xfId="0" applyNumberFormat="1" applyFont="1" applyFill="1" applyBorder="1" applyAlignment="1">
      <x:alignment horizontal="center" vertical="center"/>
    </x:xf>
    <x:xf numFmtId="207" fontId="9" fillId="3" borderId="0" xfId="0" applyNumberFormat="1" applyFont="1" applyFill="1" applyBorder="1" applyAlignment="1">
      <x:alignment horizontal="center" vertical="center"/>
    </x:xf>
    <x:xf numFmtId="207" fontId="9" fillId="3" borderId="1" xfId="0" applyNumberFormat="1" applyFont="1" applyFill="1" applyBorder="1" applyAlignment="1">
      <x:alignment horizontal="center" vertical="center"/>
    </x:xf>
    <x:xf numFmtId="204" fontId="9" fillId="3" borderId="0" xfId="0" applyNumberFormat="1" applyFont="1" applyFill="1" applyBorder="1" applyAlignment="1">
      <x:alignment horizontal="center" vertical="center"/>
    </x:xf>
    <x:xf numFmtId="204" fontId="9" fillId="3" borderId="1" xfId="0" applyNumberFormat="1" applyFont="1" applyFill="1" applyBorder="1" applyAlignment="1">
      <x:alignment horizontal="center" vertical="center"/>
    </x:xf>
    <x:xf numFmtId="208" fontId="9" fillId="3" borderId="0" xfId="0" applyNumberFormat="1" applyFont="1" applyFill="1" applyBorder="1" applyAlignment="1">
      <x:alignment horizontal="center" vertical="center"/>
    </x:xf>
    <x:xf numFmtId="208" fontId="9" fillId="3" borderId="1" xfId="0" applyNumberFormat="1" applyFont="1" applyFill="1" applyBorder="1" applyAlignment="1">
      <x:alignment horizontal="center" vertical="center"/>
    </x:xf>
    <x:xf numFmtId="208" fontId="4" fillId="0" borderId="0" xfId="0" applyNumberFormat="1" applyFont="1" applyFill="1" applyBorder="1" applyAlignment="1">
      <x:alignment vertical="top" wrapText="1"/>
    </x:xf>
    <x:xf numFmtId="208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horizontal="left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8bcf67bd349d7" /><Relationship Type="http://schemas.openxmlformats.org/officeDocument/2006/relationships/theme" Target="/xl/theme/theme1.xml" Id="Raa6a0eb12ec34a1b" /><Relationship Type="http://schemas.openxmlformats.org/officeDocument/2006/relationships/sharedStrings" Target="/xl/sharedStrings.xml" Id="R903f779960c34e4b" /><Relationship Type="http://schemas.openxmlformats.org/officeDocument/2006/relationships/worksheet" Target="/xl/worksheets/sheet1.xml" Id="R14121b428639453e" /><Relationship Type="http://schemas.openxmlformats.org/officeDocument/2006/relationships/worksheet" Target="/xl/worksheets/sheet2.xml" Id="R25eecc79294f4169" /><Relationship Type="http://schemas.openxmlformats.org/officeDocument/2006/relationships/worksheet" Target="/xl/worksheets/sheet3.xml" Id="R70c8958a11594184" /><Relationship Type="http://schemas.openxmlformats.org/officeDocument/2006/relationships/worksheet" Target="/xl/worksheets/sheet4.xml" Id="R73bfb4e6258642bb" /><Relationship Type="http://schemas.openxmlformats.org/officeDocument/2006/relationships/worksheet" Target="/xl/worksheets/sheet5.xml" Id="R8fbdf458fd1643d7" /><Relationship Type="http://schemas.openxmlformats.org/officeDocument/2006/relationships/worksheet" Target="/xl/worksheets/sheet6.xml" Id="R17e33c636f3845c5" /><Relationship Type="http://schemas.openxmlformats.org/officeDocument/2006/relationships/worksheet" Target="/xl/worksheets/sheet7.xml" Id="Re581438548254083" /><Relationship Type="http://schemas.openxmlformats.org/officeDocument/2006/relationships/worksheet" Target="/xl/worksheets/sheet8.xml" Id="R5c66e904095843c9" /><Relationship Type="http://schemas.openxmlformats.org/officeDocument/2006/relationships/worksheet" Target="/xl/worksheets/sheet9.xml" Id="R0b69eaee5ad54c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167645aa454453" /><Relationship Type="http://schemas.openxmlformats.org/officeDocument/2006/relationships/chart" Target="/xl/drawings/charts/chart2.xml" Id="Rce047b2b1ebd427b" /><Relationship Type="http://schemas.openxmlformats.org/officeDocument/2006/relationships/chart" Target="/xl/drawings/charts/chart3.xml" Id="R730fed1cb8d249e0" /><Relationship Type="http://schemas.openxmlformats.org/officeDocument/2006/relationships/chart" Target="/xl/drawings/charts/chart4.xml" Id="R2e246df08c2a4965" /><Relationship Type="http://schemas.openxmlformats.org/officeDocument/2006/relationships/chart" Target="/xl/drawings/charts/chart5.xml" Id="R5fa852ae8fab44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Publications par plateforme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Publications</c:v>
          </c:tx>
          <c:cat>
            <c:strRef>
              <c:f>'Tableau de bord'!$A$17:$A$20</c:f>
              <c:strCache>
                <c:ptCount val="0"/>
              </c:strCache>
            </c:strRef>
          </c:cat>
          <c:val>
            <c:numRef>
              <c:f>'Tableau de bord'!$B$17:$B$20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Portée par plateforme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Publications</c:v>
          </c:tx>
          <c:cat>
            <c:strRef>
              <c:f>'Tableau de bord'!$A$17:$A$20</c:f>
              <c:strCache>
                <c:ptCount val="0"/>
              </c:strCache>
            </c:strRef>
          </c:cat>
          <c:val>
            <c:numRef>
              <c:f>'Tableau de bord'!$B$17:$B$20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Portée</c:v>
          </c:tx>
          <c:cat>
            <c:strRef>
              <c:f>'Tableau de bord'!$A$17:$A$20</c:f>
              <c:strCache>
                <c:ptCount val="0"/>
              </c:strCache>
            </c:strRef>
          </c:cat>
          <c:val>
            <c:numRef>
              <c:f>'Tableau de bord'!$C$17:$C$20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Entonnoir de conversion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Volume</c:v>
          </c:tx>
          <c:cat>
            <c:strRef>
              <c:f>'Tableau de bord'!$T$17:$T$19</c:f>
              <c:strCache>
                <c:ptCount val="0"/>
              </c:strCache>
            </c:strRef>
          </c:cat>
          <c:val>
            <c:numRef>
              <c:f>'Tableau de bord'!$U$17:$U$19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Publications par étape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Publications</c:v>
          </c:tx>
          <c:cat>
            <c:strRef>
              <c:f>'Tableau de bord'!$H$17:$H$19</c:f>
              <c:strCache>
                <c:ptCount val="0"/>
              </c:strCache>
            </c:strRef>
          </c:cat>
          <c:val>
            <c:numRef>
              <c:f>'Tableau de bord'!$I$17:$I$19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nature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Publications</c:v>
          </c:tx>
          <c:cat>
            <c:strRef>
              <c:f>'Tableau de bord'!$N$17:$N$20</c:f>
              <c:strCache>
                <c:ptCount val="0"/>
              </c:strCache>
            </c:strRef>
          </c:cat>
          <c:val>
            <c:numRef>
              <c:f>'Tableau de bord'!$O$17:$O$20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167645aa45445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047b2b1ebd427b"/>
        </a:graphicData>
      </a:graphic>
    </xdr:graphicFrame>
    <xdr:clientData/>
  </xdr:twoCellAnchor>
  <xdr:twoCellAnchor>
    <xdr:from>
      <xdr:col>16</xdr:col>
      <xdr:colOff>0</xdr:colOff>
      <xdr:row>22</xdr:row>
      <xdr:rowOff>0</xdr:rowOff>
    </xdr:from>
    <xdr:to>
      <xdr:col>25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0fed1cb8d249e0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246df08c2a4965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25</xdr:col>
      <xdr:colOff>0</xdr:colOff>
      <xdr:row>55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a852ae8fab443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a7ec60977fe4e27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2" hidden="0" customWidth="1"/>
  </x:cols>
  <x:sheetData>
    <x:row r="1" ht="34" customHeight="1">
      <x:c r="A1" s="124" t="str">
        <x:v>MODE D’EMPLOI — CALENDRIER ÉDITORIAL &amp; TABLEAU DE BORD</x:v>
      </x:c>
      <x:c r="B1" s="124"/>
      <x:c r="C1" s="5"/>
      <x:c r="D1" s="5"/>
      <x:c r="E1" s="5"/>
      <x:c r="F1" s="5"/>
    </x:row>
    <x:row r="4" ht="34" customHeight="1">
      <x:c r="A4" s="129" t="str">
        <x:v>1. Finalité du fichier</x:v>
      </x:c>
      <x:c r="B4" s="25" t="str">
        <x:v>Ce classeur sert à préparer les publications, centraliser les résultats et relier la communication aux objectifs du cabinet.</x:v>
      </x:c>
    </x:row>
    <x:row r="5" ht="34" customHeight="1">
      <x:c r="A5" s="129" t="str">
        <x:v>2. Commencer</x:v>
      </x:c>
      <x:c r="B5" s="25" t="str">
        <x:v>Lisez cette feuille, puis ouvrez l’onglet « Paramètres » pour renseigner le coût horaire interne et adapter les listes utiles au cabinet.</x:v>
      </x:c>
    </x:row>
    <x:row r="6" ht="44" customHeight="1">
      <x:c r="A6" s="129" t="str">
        <x:v>3. Principe de saisie</x:v>
      </x:c>
      <x:c r="B6" s="25" t="str">
        <x:v>L’onglet « Calendrier éditorial » est l’unique base de données. Commencez à la ligne 6. Les cellules blanches sont à compléter ; les cellules grisées contiennent des formules.</x:v>
      </x:c>
    </x:row>
    <x:row r="7" ht="34" customHeight="1">
      <x:c r="A7" s="129" t="str">
        <x:v>4. Avant publication</x:v>
      </x:c>
      <x:c r="B7" s="25" t="str">
        <x:v>Renseignez l’organisation, l’objectif, le type de contenu, le sujet, le message principal, l’appel à l’action, la validation et la date de programmation.</x:v>
      </x:c>
    </x:row>
    <x:row r="8" ht="44" customHeight="1">
      <x:c r="A8" s="129" t="str">
        <x:v>5. Après publication</x:v>
      </x:c>
      <x:c r="B8" s="25" t="str">
        <x:v>Ajoutez le lien de la publication, les résultats disponibles, les prises de contact, le temps réellement consacré et les coûts engagés.</x:v>
      </x:c>
    </x:row>
    <x:row r="9" ht="44" customHeight="1">
      <x:c r="A9" s="129" t="str">
        <x:v>6. Indicateurs à retenir</x:v>
      </x:c>
      <x:c r="B9" s="25" t="str">
        <x:v>Sélectionnez les indicateurs qui permettent de mesurer l’objectif SMART : visibilité et audience, engagement, action et conversion, résultats du cabinet et ressources mobilisées.</x:v>
      </x:c>
    </x:row>
    <x:row r="10" ht="44" customHeight="1">
      <x:c r="A10" s="129" t="str">
        <x:v>7. Tableau de bord</x:v>
      </x:c>
      <x:c r="B10" s="25" t="str">
        <x:v>L’onglet « Tableau de bord » exploite les données du calendrier. Utilisez les filtres par plateforme et par mois pour lire les résultats utiles.</x:v>
      </x:c>
    </x:row>
    <x:row r="11" ht="44" customHeight="1">
      <x:c r="A11" s="129" t="str">
        <x:v>8. Analyse</x:v>
      </x:c>
      <x:c r="B11" s="25" t="str">
        <x:v>Comparez des publications présentant des caractéristiques proches. Repérez les contenus à reproduire, ajuster, surveiller ou abandonner lorsque le volume de données est suffisant.</x:v>
      </x:c>
    </x:row>
    <x:row r="12" ht="44" customHeight="1">
      <x:c r="A12" s="129" t="str">
        <x:v>9. Organisation du travail</x:v>
      </x:c>
      <x:c r="B12" s="25" t="str">
        <x:v>Le processus est : conception → relecture et validation → programmation → publication → saisie des résultats → analyse → action corrective.</x:v>
      </x:c>
    </x:row>
    <x:row r="13" ht="44" customHeight="1">
      <x:c r="A13" s="129" t="str">
        <x:v>10. Contenus et IA</x:v>
      </x:c>
      <x:c r="B13" s="25" t="str">
        <x:v>Les onglets « Correspondance objectifs », « Périodicité », « Dates clés » et « Guide contenu &amp; IA » fournissent des repères. Aucune donnée confidentielle ne doit être transmise à un outil d’IA.</x:v>
      </x:c>
    </x:row>
    <x:row r="14" ht="44" customHeight="1">
      <x:c r="A14" s="134" t="str">
        <x:v>À retenir</x:v>
      </x:c>
      <x:c r="B14" s="134" t="str">
        <x:v>Le fichier est commun aux guides Facebook, Instagram, TikTok et YouTube. Les formats et indicateurs renseignés doivent correspondre aux fonctions réellement utilisées sur la plateforme.</x:v>
      </x:c>
    </x:row>
    <x:row r="15">
      <x:c r="A15" s="33"/>
      <x:c r="B15" s="33"/>
      <x:c r="C15" s="33"/>
      <x:c r="D15" s="33"/>
      <x:c r="E15" s="33"/>
      <x:c r="F15" s="33"/>
    </x:row>
  </x:sheetData>
  <x:mergeCells>
    <x:mergeCell ref="A1:F1"/>
    <x:mergeCell ref="A15:F15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0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5" t="str">
        <x:v>PARAMÈTRES ET LISTES DE RÉFÉRENCE</x:v>
      </x:c>
      <x:c r="B1" s="5"/>
      <x:c r="C1" s="5"/>
      <x:c r="D1" s="5"/>
      <x:c r="E1" s="5"/>
      <x:c r="F1" s="5"/>
      <x:c r="G1" s="5"/>
      <x:c r="H1" s="5"/>
    </x:row>
    <x:row r="3">
      <x:c r="A3" s="42" t="str">
        <x:v>Paramètre</x:v>
      </x:c>
      <x:c r="B3" s="42" t="str">
        <x:v>Valeur</x:v>
      </x:c>
      <x:c r="D3" s="42" t="str">
        <x:v>Plateformes</x:v>
      </x:c>
      <x:c r="E3" s="42" t="str">
        <x:v>Mois</x:v>
      </x:c>
      <x:c r="F3" s="42" t="str">
        <x:v>Statuts</x:v>
      </x:c>
      <x:c r="G3" s="42" t="str">
        <x:v>Objectifs réseau</x:v>
      </x:c>
      <x:c r="H3" s="42" t="str">
        <x:v>Objectifs business</x:v>
      </x:c>
      <x:c r="J3" s="42" t="str">
        <x:v>Type de contenu</x:v>
      </x:c>
      <x:c r="K3" s="42" t="str">
        <x:v>Thématiques</x:v>
      </x:c>
      <x:c r="L3" s="42" t="str">
        <x:v>Natures</x:v>
      </x:c>
      <x:c r="M3" s="42" t="str">
        <x:v>Étapes</x:v>
      </x:c>
      <x:c r="N3" s="42" t="str">
        <x:v>Méthodes</x:v>
      </x:c>
      <x:c r="O3" s="42" t="str">
        <x:v>Formats</x:v>
      </x:c>
      <x:c r="P3" s="42" t="str">
        <x:v>Oui / Non</x:v>
      </x:c>
      <x:c r="Q3" s="42" t="str">
        <x:v>Type de mission</x:v>
      </x:c>
      <x:c r="R3" s="42" t="str">
        <x:v>Statut optimisation</x:v>
      </x:c>
    </x:row>
    <x:row r="4">
      <x:c r="A4" s="25" t="str">
        <x:v>Coût horaire interne (€) — à renseigner</x:v>
      </x:c>
      <x:c r="B4" s="52" t="n">
        <x:v>0</x:v>
      </x:c>
      <x:c r="D4" s="25" t="str">
        <x:v>Toutes</x:v>
      </x:c>
      <x:c r="E4" s="25" t="str">
        <x:v>Tous</x:v>
      </x:c>
      <x:c r="F4" s="25" t="str">
        <x:v>À préparer</x:v>
      </x:c>
      <x:c r="G4" s="25" t="str">
        <x:v>Visibilité</x:v>
      </x:c>
      <x:c r="H4" s="25" t="str">
        <x:v>Générer des contacts</x:v>
      </x:c>
      <x:c r="J4" s="25" t="str">
        <x:v>Chaud</x:v>
      </x:c>
      <x:c r="K4" s="25" t="str">
        <x:v>Métier</x:v>
      </x:c>
      <x:c r="L4" s="25" t="str">
        <x:v>Éduquer</x:v>
      </x:c>
      <x:c r="M4" s="25" t="str">
        <x:v>See</x:v>
      </x:c>
      <x:c r="N4" s="25" t="str">
        <x:v>Donner pour recevoir</x:v>
      </x:c>
      <x:c r="O4" s="25" t="str">
        <x:v>Post texte</x:v>
      </x:c>
      <x:c r="P4" s="25" t="str">
        <x:v>Oui</x:v>
      </x:c>
      <x:c r="Q4" s="25" t="str">
        <x:v>Récurrente</x:v>
      </x:c>
      <x:c r="R4" s="25" t="str">
        <x:v>À tester</x:v>
      </x:c>
    </x:row>
    <x:row r="5">
      <x:c r="A5" s="25" t="str">
        <x:v>Objectif de publications / mois — issu du plan de charge</x:v>
      </x:c>
      <x:c r="B5" s="54"/>
      <x:c r="D5" s="25" t="str">
        <x:v>Facebook</x:v>
      </x:c>
      <x:c r="E5" s="25" t="str">
        <x:v>Janvier</x:v>
      </x:c>
      <x:c r="F5" s="25" t="str">
        <x:v>En rédaction</x:v>
      </x:c>
      <x:c r="G5" s="25" t="str">
        <x:v>Notoriété</x:v>
      </x:c>
      <x:c r="H5" s="25" t="str">
        <x:v>Signer des lettres de mission</x:v>
      </x:c>
      <x:c r="J5" s="25" t="str">
        <x:v>Froid</x:v>
      </x:c>
      <x:c r="K5" s="25" t="str">
        <x:v>Vie du cabinet</x:v>
      </x:c>
      <x:c r="L5" s="25" t="str">
        <x:v>Inspirer</x:v>
      </x:c>
      <x:c r="M5" s="25" t="str">
        <x:v>Think</x:v>
      </x:c>
      <x:c r="N5" s="25" t="str">
        <x:v>Storytelling</x:v>
      </x:c>
      <x:c r="O5" s="25" t="str">
        <x:v>Image</x:v>
      </x:c>
      <x:c r="P5" s="25" t="str">
        <x:v>Non</x:v>
      </x:c>
      <x:c r="Q5" s="25" t="str">
        <x:v>Exceptionnelle</x:v>
      </x:c>
      <x:c r="R5" s="25" t="str">
        <x:v>À reproduire</x:v>
      </x:c>
    </x:row>
    <x:row r="6">
      <x:c r="A6" s="25" t="str">
        <x:v>Volume minimal avant analyse — à définir</x:v>
      </x:c>
      <x:c r="B6" s="54"/>
      <x:c r="D6" s="25" t="str">
        <x:v>Instagram</x:v>
      </x:c>
      <x:c r="E6" s="25" t="str">
        <x:v>Février</x:v>
      </x:c>
      <x:c r="F6" s="25" t="str">
        <x:v>À valider</x:v>
      </x:c>
      <x:c r="G6" s="25" t="str">
        <x:v>Promotion</x:v>
      </x:c>
      <x:c r="H6" s="25" t="str">
        <x:v>Vendre une mission ponctuelle</x:v>
      </x:c>
      <x:c r="K6" s="25" t="str">
        <x:v>Actualité</x:v>
      </x:c>
      <x:c r="L6" s="25" t="str">
        <x:v>Promouvoir</x:v>
      </x:c>
      <x:c r="M6" s="25" t="str">
        <x:v>Do</x:v>
      </x:c>
      <x:c r="N6" s="25" t="str">
        <x:v>Contenu pilier</x:v>
      </x:c>
      <x:c r="O6" s="25" t="str">
        <x:v>Carrousel</x:v>
      </x:c>
      <x:c r="P6" s="25" t="str">
        <x:v>Sans objet</x:v>
      </x:c>
      <x:c r="Q6" s="25" t="str">
        <x:v>Sans objet</x:v>
      </x:c>
      <x:c r="R6" s="25" t="str">
        <x:v>À ajuster</x:v>
      </x:c>
    </x:row>
    <x:row r="7">
      <x:c r="D7" s="25" t="str">
        <x:v>TikTok</x:v>
      </x:c>
      <x:c r="E7" s="25" t="str">
        <x:v>Mars</x:v>
      </x:c>
      <x:c r="F7" s="25" t="str">
        <x:v>Programmée</x:v>
      </x:c>
      <x:c r="G7" s="25" t="str">
        <x:v>Recrutement</x:v>
      </x:c>
      <x:c r="H7" s="25" t="str">
        <x:v>Recruter</x:v>
      </x:c>
      <x:c r="K7" s="25" t="str">
        <x:v>Valeurs</x:v>
      </x:c>
      <x:c r="L7" s="25" t="str">
        <x:v>Divertir</x:v>
      </x:c>
      <x:c r="N7" s="25" t="str">
        <x:v>Recyclage</x:v>
      </x:c>
      <x:c r="O7" s="25" t="str">
        <x:v>Story</x:v>
      </x:c>
      <x:c r="P7" s="25" t="str">
        <x:v>À vérifier</x:v>
      </x:c>
      <x:c r="R7" s="25" t="str">
        <x:v>À abandonner</x:v>
      </x:c>
    </x:row>
    <x:row r="8">
      <x:c r="D8" s="25" t="str">
        <x:v>YouTube</x:v>
      </x:c>
      <x:c r="E8" s="25" t="str">
        <x:v>Avril</x:v>
      </x:c>
      <x:c r="F8" s="25" t="str">
        <x:v>Publiée</x:v>
      </x:c>
      <x:c r="G8" s="25" t="str">
        <x:v>Fidélisation</x:v>
      </x:c>
      <x:c r="H8" s="25" t="str">
        <x:v>Fidéliser</x:v>
      </x:c>
      <x:c r="N8" s="25" t="str">
        <x:v>Actualité réactive</x:v>
      </x:c>
      <x:c r="O8" s="25" t="str">
        <x:v>Reel / vidéo courte</x:v>
      </x:c>
    </x:row>
    <x:row r="9">
      <x:c r="E9" s="25" t="str">
        <x:v>Mai</x:v>
      </x:c>
      <x:c r="F9" s="25" t="str">
        <x:v>Reportée</x:v>
      </x:c>
      <x:c r="H9" s="25" t="str">
        <x:v>Développer la notoriété</x:v>
      </x:c>
      <x:c r="N9" s="25" t="str">
        <x:v>Coulisses</x:v>
      </x:c>
      <x:c r="O9" s="25" t="str">
        <x:v>Vidéo longue</x:v>
      </x:c>
    </x:row>
    <x:row r="10">
      <x:c r="E10" s="25" t="str">
        <x:v>Juin</x:v>
      </x:c>
      <x:c r="H10" s="25" t="str">
        <x:v>Informer les clients</x:v>
      </x:c>
      <x:c r="O10" s="25" t="str">
        <x:v>Live</x:v>
      </x:c>
    </x:row>
    <x:row r="11">
      <x:c r="E11" s="25" t="str">
        <x:v>Juillet</x:v>
      </x:c>
      <x:c r="O11" s="25" t="str">
        <x:v>FAQ</x:v>
      </x:c>
    </x:row>
    <x:row r="12">
      <x:c r="E12" s="25" t="str">
        <x:v>Août</x:v>
      </x:c>
    </x:row>
    <x:row r="13">
      <x:c r="E13" s="25" t="str">
        <x:v>Septembre</x:v>
      </x:c>
    </x:row>
    <x:row r="14">
      <x:c r="E14" s="25" t="str">
        <x:v>Octobre</x:v>
      </x:c>
    </x:row>
    <x:row r="15">
      <x:c r="E15" s="25" t="str">
        <x:v>Novembre</x:v>
      </x:c>
    </x:row>
    <x:row r="16">
      <x:c r="E16" s="25" t="str">
        <x:v>Décembre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17" hidden="0" customWidth="1"/>
    <x:col min="4" max="4" width="40" hidden="0" customWidth="1"/>
    <x:col min="5" max="5" width="28" hidden="0" customWidth="1"/>
    <x:col min="6" max="6" width="34" hidden="0" customWidth="1"/>
    <x:col min="7" max="7" width="38" hidden="0" customWidth="1"/>
  </x:cols>
  <x:sheetData>
    <x:row r="1">
      <x:c r="A1" s="5" t="str">
        <x:v>CORRESPONDANCE ENTRE OBJECTIFS, CONTENUS ET INDICATEURS</x:v>
      </x:c>
      <x:c r="B1" s="5"/>
      <x:c r="C1" s="5"/>
      <x:c r="D1" s="5"/>
      <x:c r="E1" s="5"/>
      <x:c r="F1" s="5"/>
      <x:c r="G1" s="5"/>
    </x:row>
    <x:row r="3">
      <x:c r="A3" s="42" t="str">
        <x:v>Objectif réseau</x:v>
      </x:c>
      <x:c r="B3" s="42" t="str">
        <x:v>Finalité</x:v>
      </x:c>
      <x:c r="C3" s="42" t="str">
        <x:v>Étape dominante</x:v>
      </x:c>
      <x:c r="D3" s="42" t="str">
        <x:v>Contenus à privilégier</x:v>
      </x:c>
      <x:c r="E3" s="42" t="str">
        <x:v>CTA recommandé</x:v>
      </x:c>
      <x:c r="F3" s="42" t="str">
        <x:v>Indicateurs prioritaires</x:v>
      </x:c>
      <x:c r="G3" s="42" t="str">
        <x:v>Vigilance</x:v>
      </x:c>
    </x:row>
    <x:row r="4">
      <x:c r="A4" s="25" t="str">
        <x:v>Visibilité</x:v>
      </x:c>
      <x:c r="B4" s="25" t="str">
        <x:v>Faire connaître le cabinet auprès d’une audience nouvelle.</x:v>
      </x:c>
      <x:c r="C4" s="25" t="str">
        <x:v>See</x:v>
      </x:c>
      <x:c r="D4" s="25" t="str">
        <x:v>Contenus pédagogiques courts, actualités utiles, formats facilement partageables.</x:v>
      </x:c>
      <x:c r="E4" s="25" t="str">
        <x:v>Découvrir, enregistrer, s’abonner.</x:v>
      </x:c>
      <x:c r="F4" s="25" t="str">
        <x:v>Impressions, portée, vues, nouveaux abonnés.</x:v>
      </x:c>
      <x:c r="G4" s="25" t="str">
        <x:v>Ne pas confondre audience exposée et prospects qualifiés.</x:v>
      </x:c>
    </x:row>
    <x:row r="5">
      <x:c r="A5" s="25" t="str">
        <x:v>Notoriété</x:v>
      </x:c>
      <x:c r="B5" s="25" t="str">
        <x:v>Installer progressivement l’expertise et la crédibilité du cabinet.</x:v>
      </x:c>
      <x:c r="C5" s="25" t="str">
        <x:v>See / Think</x:v>
      </x:c>
      <x:c r="D5" s="25" t="str">
        <x:v>Décryptages, séries récurrentes, contenus piliers, prises de parole incarnées.</x:v>
      </x:c>
      <x:c r="E5" s="25" t="str">
        <x:v>Suivre la série, consulter une ressource.</x:v>
      </x:c>
      <x:c r="F5" s="25" t="str">
        <x:v>Portée récurrente, engagement, abonnés, visites du profil.</x:v>
      </x:c>
      <x:c r="G5" s="25" t="str">
        <x:v>La progression se mesure sur plusieurs mois.</x:v>
      </x:c>
    </x:row>
    <x:row r="6">
      <x:c r="A6" s="25" t="str">
        <x:v>Promotion</x:v>
      </x:c>
      <x:c r="B6" s="25" t="str">
        <x:v>Faire comprendre l’utilité d’une mission et provoquer une prise de contact.</x:v>
      </x:c>
      <x:c r="C6" s="25" t="str">
        <x:v>Think / Do</x:v>
      </x:c>
      <x:c r="D6" s="25" t="str">
        <x:v>Études de cas anonymisées, problèmes fréquents, démonstration de méthode, FAQ.</x:v>
      </x:c>
      <x:c r="E6" s="25" t="str">
        <x:v>Prendre rendez-vous, demander un diagnostic.</x:v>
      </x:c>
      <x:c r="F6" s="25" t="str">
        <x:v>Clics, messages privés, contacts, rendez-vous, missions.</x:v>
      </x:c>
      <x:c r="G6" s="25" t="str">
        <x:v>Éviter les promesses chiffrées et les formulations trop commerciales.</x:v>
      </x:c>
    </x:row>
    <x:row r="7">
      <x:c r="A7" s="25" t="str">
        <x:v>Recrutement</x:v>
      </x:c>
      <x:c r="B7" s="25" t="str">
        <x:v>Attirer des candidats correspondant aux besoins et aux valeurs du cabinet.</x:v>
      </x:c>
      <x:c r="C7" s="25" t="str">
        <x:v>See / Think / Do</x:v>
      </x:c>
      <x:c r="D7" s="25" t="str">
        <x:v>Vie du cabinet, présentation du métier, témoignages, offre d’emploi claire.</x:v>
      </x:c>
      <x:c r="E7" s="25" t="str">
        <x:v>Candidater, poser une question, rencontrer l’équipe.</x:v>
      </x:c>
      <x:c r="F7" s="25" t="str">
        <x:v>Vues, candidatures, messages, entretiens, recrutements.</x:v>
      </x:c>
      <x:c r="G7" s="25" t="str">
        <x:v>Respecter la dignité et ne pas embellir artificiellement la réalité.</x:v>
      </x:c>
    </x:row>
    <x:row r="8">
      <x:c r="A8" s="25" t="str">
        <x:v>Fidélisation</x:v>
      </x:c>
      <x:c r="B8" s="25" t="str">
        <x:v>Maintenir le lien et développer la valeur apportée aux clients existants.</x:v>
      </x:c>
      <x:c r="C8" s="25" t="str">
        <x:v>Think / Do</x:v>
      </x:c>
      <x:c r="D8" s="25" t="str">
        <x:v>Conseils pratiques, rappels, nouveautés, tutoriels, contenus exclusifs.</x:v>
      </x:c>
      <x:c r="E8" s="25" t="str">
        <x:v>Télécharger, participer, solliciter le cabinet.</x:v>
      </x:c>
      <x:c r="F8" s="25" t="str">
        <x:v>Enregistrements, retours clients, demandes complémentaires, missions additionnelles.</x:v>
      </x:c>
      <x:c r="G8" s="25" t="str">
        <x:v>Ne pas publier d’informations personnalisées ou confidentielles.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36" hidden="0" customWidth="1"/>
    <x:col min="5" max="5" width="36" hidden="0" customWidth="1"/>
    <x:col min="6" max="6" width="40" hidden="0" customWidth="1"/>
  </x:cols>
  <x:sheetData>
    <x:row r="1">
      <x:c r="A1" s="5" t="str">
        <x:v>REPÈRES DE RÉPARTITION — À ADAPTER AU PLAN DE CHARGE</x:v>
      </x:c>
      <x:c r="B1" s="5"/>
      <x:c r="C1" s="5"/>
      <x:c r="D1" s="5"/>
      <x:c r="E1" s="5"/>
      <x:c r="F1" s="5"/>
    </x:row>
    <x:row r="3">
      <x:c r="A3" s="42" t="str">
        <x:v>Axe</x:v>
      </x:c>
      <x:c r="B3" s="42" t="str">
        <x:v>Catégorie</x:v>
      </x:c>
      <x:c r="C3" s="42" t="str">
        <x:v>Place dans le calendrier</x:v>
      </x:c>
      <x:c r="D3" s="42" t="str">
        <x:v>Rôle</x:v>
      </x:c>
      <x:c r="E3" s="42" t="str">
        <x:v>Exemples de contenus</x:v>
      </x:c>
      <x:c r="F3" s="42" t="str">
        <x:v>Point de vigilance</x:v>
      </x:c>
    </x:row>
    <x:row r="4">
      <x:c r="A4" s="25" t="str">
        <x:v>Type</x:v>
      </x:c>
      <x:c r="B4" s="25" t="str">
        <x:v>Froid</x:v>
      </x:c>
      <x:c r="C4" s="54" t="str">
        <x:v>À déterminer</x:v>
      </x:c>
      <x:c r="D4" s="25" t="str">
        <x:v>Assurer une présence avec des contenus durables.</x:v>
      </x:c>
      <x:c r="E4" s="25" t="str">
        <x:v>Tutoriel, checklist, FAQ, méthode.</x:v>
      </x:c>
      <x:c r="F4" s="25" t="str">
        <x:v>Ne pas remplir le calendrier au-delà du temps disponible.</x:v>
      </x:c>
    </x:row>
    <x:row r="5">
      <x:c r="A5" s="25" t="str">
        <x:v>Type</x:v>
      </x:c>
      <x:c r="B5" s="25" t="str">
        <x:v>Chaud</x:v>
      </x:c>
      <x:c r="C5" s="54" t="str">
        <x:v>Selon l’actualité</x:v>
      </x:c>
      <x:c r="D5" s="25" t="str">
        <x:v>Réagir à une information ou un événement utile à la cible.</x:v>
      </x:c>
      <x:c r="E5" s="25" t="str">
        <x:v>Actualité fiscale, sociale ou événement du cabinet.</x:v>
      </x:c>
      <x:c r="F5" s="25" t="str">
        <x:v>Vérifier la source et la date avant publication.</x:v>
      </x:c>
    </x:row>
    <x:row r="6">
      <x:c r="A6" s="25" t="str">
        <x:v>Thématique</x:v>
      </x:c>
      <x:c r="B6" s="25" t="str">
        <x:v>Métier</x:v>
      </x:c>
      <x:c r="C6" s="54" t="str">
        <x:v>Selon l’objectif</x:v>
      </x:c>
      <x:c r="D6" s="25" t="str">
        <x:v>Démontrer l’expertise et répondre aux besoins récurrents.</x:v>
      </x:c>
      <x:c r="E6" s="25" t="str">
        <x:v>Création, fiscalité, pilotage, obligations.</x:v>
      </x:c>
      <x:c r="F6" s="25" t="str">
        <x:v>Éviter le jargon et le conseil personnalisé public.</x:v>
      </x:c>
    </x:row>
    <x:row r="7">
      <x:c r="A7" s="25" t="str">
        <x:v>Thématique</x:v>
      </x:c>
      <x:c r="B7" s="25" t="str">
        <x:v>Vie du cabinet</x:v>
      </x:c>
      <x:c r="C7" s="54" t="str">
        <x:v>Selon l’objectif</x:v>
      </x:c>
      <x:c r="D7" s="25" t="str">
        <x:v>Montrer l’organisation, les méthodes et les personnes.</x:v>
      </x:c>
      <x:c r="E7" s="25" t="str">
        <x:v>Présentation, formation, journée type.</x:v>
      </x:c>
      <x:c r="F7" s="25" t="str">
        <x:v>Obtenir l’accord des personnes visibles.</x:v>
      </x:c>
    </x:row>
    <x:row r="8">
      <x:c r="A8" s="25" t="str">
        <x:v>Thématique</x:v>
      </x:c>
      <x:c r="B8" s="25" t="str">
        <x:v>Actualité / Valeurs</x:v>
      </x:c>
      <x:c r="C8" s="54" t="str">
        <x:v>Selon la pertinence</x:v>
      </x:c>
      <x:c r="D8" s="25" t="str">
        <x:v>Relier la communication à une actualité ou à un engagement réel.</x:v>
      </x:c>
      <x:c r="E8" s="25" t="str">
        <x:v>Réforme, événement, engagement du cabinet.</x:v>
      </x:c>
      <x:c r="F8" s="25" t="str">
        <x:v>Éviter les publications opportunistes sans lien avec le positionnement.</x:v>
      </x:c>
    </x:row>
    <x:row r="9">
      <x:c r="A9" s="25" t="str">
        <x:v>Nature</x:v>
      </x:c>
      <x:c r="B9" s="25" t="str">
        <x:v>Éduquer</x:v>
      </x:c>
      <x:c r="C9" s="54" t="str">
        <x:v>À privilégier selon le besoin</x:v>
      </x:c>
      <x:c r="D9" s="25" t="str">
        <x:v>Apporter une réponse ou une méthode immédiatement utile.</x:v>
      </x:c>
      <x:c r="E9" s="25" t="str">
        <x:v>Conseil, décryptage, mini-guide.</x:v>
      </x:c>
      <x:c r="F9" s="25" t="str">
        <x:v>Ne pas transformer le contenu en consultation individuelle.</x:v>
      </x:c>
    </x:row>
    <x:row r="10">
      <x:c r="A10" s="25" t="str">
        <x:v>Nature</x:v>
      </x:c>
      <x:c r="B10" s="25" t="str">
        <x:v>Inspirer</x:v>
      </x:c>
      <x:c r="C10" s="54" t="str">
        <x:v>À intégrer si cohérent</x:v>
      </x:c>
      <x:c r="D10" s="25" t="str">
        <x:v>Créer de la proximité et rendre l’expertise concrète.</x:v>
      </x:c>
      <x:c r="E10" s="25" t="str">
        <x:v>Storytelling, parcours, coulisses.</x:v>
      </x:c>
      <x:c r="F10" s="25" t="str">
        <x:v>Anonymiser toute situation issue d’un dossier réel.</x:v>
      </x:c>
    </x:row>
    <x:row r="11">
      <x:c r="A11" s="25" t="str">
        <x:v>Nature</x:v>
      </x:c>
      <x:c r="B11" s="25" t="str">
        <x:v>Promouvoir</x:v>
      </x:c>
      <x:c r="C11" s="54" t="str">
        <x:v>Avec mesure</x:v>
      </x:c>
      <x:c r="D11" s="25" t="str">
        <x:v>Présenter une mission à partir du problème qu’elle permet de traiter.</x:v>
      </x:c>
      <x:c r="E11" s="25" t="str">
        <x:v>FAQ mission, cas d’usage, diagnostic.</x:v>
      </x:c>
      <x:c r="F11" s="25" t="str">
        <x:v>Aucune promesse de résultat ni comparaison.</x:v>
      </x:c>
    </x:row>
    <x:row r="12">
      <x:c r="A12" s="25" t="str">
        <x:v>Nature</x:v>
      </x:c>
      <x:c r="B12" s="25" t="str">
        <x:v>Divertir</x:v>
      </x:c>
      <x:c r="C12" s="54" t="str">
        <x:v>Ponctuellement</x:v>
      </x:c>
      <x:c r="D12" s="25" t="str">
        <x:v>Faciliter l’attention ou l’interaction.</x:v>
      </x:c>
      <x:c r="E12" s="25" t="str">
        <x:v>Quiz, idée reçue, format léger.</x:v>
      </x:c>
      <x:c r="F12" s="25" t="str">
        <x:v>Le fond professionnel reste prioritaire.</x:v>
      </x:c>
    </x:row>
    <x:row r="13">
      <x:c r="A13"/>
      <x:c r="B13"/>
      <x:c r="C13"/>
      <x:c r="D13"/>
      <x:c r="E13"/>
      <x:c r="F13"/>
    </x:row>
    <x:row r="14">
      <x:c r="A14" s="63" t="str">
        <x:v>Le nombre de publications n’est pas imposé : il découle du plan de charge, des formats retenus et du temps réellement constaté.</x:v>
      </x:c>
      <x:c r="B14" s="63"/>
      <x:c r="C14" s="63"/>
      <x:c r="D14" s="63"/>
      <x:c r="E14" s="63"/>
      <x:c r="F14" s="63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26" hidden="0" customWidth="1"/>
    <x:col min="6" max="6" width="36" hidden="0" customWidth="1"/>
  </x:cols>
  <x:sheetData>
    <x:row r="1">
      <x:c r="A1" s="5" t="str">
        <x:v>DATES CLÉS À ANTICIPER — TRAME À METTRE À JOUR CHAQUE ANNÉE</x:v>
      </x:c>
      <x:c r="B1" s="5"/>
      <x:c r="C1" s="5"/>
      <x:c r="D1" s="5"/>
      <x:c r="E1" s="5"/>
      <x:c r="F1" s="5"/>
    </x:row>
    <x:row r="3">
      <x:c r="A3" s="42" t="str">
        <x:v>Période</x:v>
      </x:c>
      <x:c r="B3" s="42" t="str">
        <x:v>Catégorie</x:v>
      </x:c>
      <x:c r="C3" s="42" t="str">
        <x:v>Événement à vérifier</x:v>
      </x:c>
      <x:c r="D3" s="42" t="str">
        <x:v>Angle possible</x:v>
      </x:c>
      <x:c r="E3" s="42" t="str">
        <x:v>Format conseillé</x:v>
      </x:c>
      <x:c r="F3" s="42" t="str">
        <x:v>Source / contrôle</x:v>
      </x:c>
    </x:row>
    <x:row r="4">
      <x:c r="A4" s="25" t="str">
        <x:v>Janvier</x:v>
      </x:c>
      <x:c r="B4" s="25" t="str">
        <x:v>Métier</x:v>
      </x:c>
      <x:c r="C4" s="25" t="str">
        <x:v>Nouveautés fiscales, sociales et comptables de l’année.</x:v>
      </x:c>
      <x:c r="D4" s="25" t="str">
        <x:v>Ce qui change concrètement pour la cible.</x:v>
      </x:c>
      <x:c r="E4" s="25" t="str">
        <x:v>Carrousel / vidéo courte</x:v>
      </x:c>
      <x:c r="F4" s="25" t="str">
        <x:v>Vérifier les textes et sites officiels.</x:v>
      </x:c>
    </x:row>
    <x:row r="5">
      <x:c r="A5" s="25" t="str">
        <x:v>Février–Mars</x:v>
      </x:c>
      <x:c r="B5" s="25" t="str">
        <x:v>Métier</x:v>
      </x:c>
      <x:c r="C5" s="25" t="str">
        <x:v>Préparation des échéances du printemps.</x:v>
      </x:c>
      <x:c r="D5" s="25" t="str">
        <x:v>Checklist et erreurs fréquentes.</x:v>
      </x:c>
      <x:c r="E5" s="25" t="str">
        <x:v>FAQ / post Facebook</x:v>
      </x:c>
      <x:c r="F5" s="25" t="str">
        <x:v>Actualiser les dates avant publication.</x:v>
      </x:c>
    </x:row>
    <x:row r="6">
      <x:c r="A6" s="25" t="str">
        <x:v>Avril–Mai</x:v>
      </x:c>
      <x:c r="B6" s="25" t="str">
        <x:v>Métier</x:v>
      </x:c>
      <x:c r="C6" s="25" t="str">
        <x:v>Campagne déclarative.</x:v>
      </x:c>
      <x:c r="D6" s="25" t="str">
        <x:v>Questions fréquentes, points de vigilance.</x:v>
      </x:c>
      <x:c r="E6" s="25" t="str">
        <x:v>Live / vidéo YouTube</x:v>
      </x:c>
      <x:c r="F6" s="25" t="str">
        <x:v>Ne pas annoncer de date sans vérification.</x:v>
      </x:c>
    </x:row>
    <x:row r="7">
      <x:c r="A7" s="25" t="str">
        <x:v>Juin</x:v>
      </x:c>
      <x:c r="B7" s="25" t="str">
        <x:v>Métier</x:v>
      </x:c>
      <x:c r="C7" s="25" t="str">
        <x:v>Point semestriel et pilotage.</x:v>
      </x:c>
      <x:c r="D7" s="25" t="str">
        <x:v>Trois indicateurs à suivre avant l’été.</x:v>
      </x:c>
      <x:c r="E7" s="25" t="str">
        <x:v>Carrousel / post</x:v>
      </x:c>
      <x:c r="F7" s="25" t="str">
        <x:v>Adapter à la clientèle cible.</x:v>
      </x:c>
    </x:row>
    <x:row r="8">
      <x:c r="A8" s="25" t="str">
        <x:v>Septembre</x:v>
      </x:c>
      <x:c r="B8" s="25" t="str">
        <x:v>Actualité</x:v>
      </x:c>
      <x:c r="C8" s="25" t="str">
        <x:v>Rentrée entrepreneuriale.</x:v>
      </x:c>
      <x:c r="D8" s="25" t="str">
        <x:v>Reprendre le pilotage et préparer la fin d’année.</x:v>
      </x:c>
      <x:c r="E8" s="25" t="str">
        <x:v>Série de contenus</x:v>
      </x:c>
      <x:c r="F8" s="25" t="str">
        <x:v>Relier au positionnement du cabinet.</x:v>
      </x:c>
    </x:row>
    <x:row r="9">
      <x:c r="A9" s="25" t="str">
        <x:v>Octobre–Novembre</x:v>
      </x:c>
      <x:c r="B9" s="25" t="str">
        <x:v>Métier</x:v>
      </x:c>
      <x:c r="C9" s="25" t="str">
        <x:v>Préparation des clôtures et anticipations.</x:v>
      </x:c>
      <x:c r="D9" s="25" t="str">
        <x:v>Décisions à prendre avant le 31 décembre.</x:v>
      </x:c>
      <x:c r="E9" s="25" t="str">
        <x:v>Vidéo / checklist</x:v>
      </x:c>
      <x:c r="F9" s="25" t="str">
        <x:v>Valider le contenu technique.</x:v>
      </x:c>
    </x:row>
    <x:row r="10">
      <x:c r="A10" s="25" t="str">
        <x:v>Décembre</x:v>
      </x:c>
      <x:c r="B10" s="25" t="str">
        <x:v>Vie du cabinet</x:v>
      </x:c>
      <x:c r="C10" s="25" t="str">
        <x:v>Bilan de l’année et perspectives.</x:v>
      </x:c>
      <x:c r="D10" s="25" t="str">
        <x:v>Leçons, réussites, projets à venir.</x:v>
      </x:c>
      <x:c r="E10" s="25" t="str">
        <x:v>Storytelling / vidéo</x:v>
      </x:c>
      <x:c r="F10" s="25" t="str">
        <x:v>Respecter la confidentialité.</x:v>
      </x:c>
    </x:row>
    <x:row r="11">
      <x:c r="A11" s="25" t="str">
        <x:v>Toute l’année</x:v>
      </x:c>
      <x:c r="B11" s="25" t="str">
        <x:v>Vie du cabinet</x:v>
      </x:c>
      <x:c r="C11" s="25" t="str">
        <x:v>Arrivées, formations, événements, coulisses.</x:v>
      </x:c>
      <x:c r="D11" s="25" t="str">
        <x:v>Montrer les méthodes et les valeurs.</x:v>
      </x:c>
      <x:c r="E11" s="25" t="str">
        <x:v>Story / Reel / Facebook</x:v>
      </x:c>
      <x:c r="F11" s="25" t="str">
        <x:v>Accord des personnes visibles.</x:v>
      </x:c>
    </x:row>
    <x:row r="12">
      <x:c r="A12" s="25" t="str">
        <x:v>Toute l’année</x:v>
      </x:c>
      <x:c r="B12" s="25" t="str">
        <x:v>Valeurs</x:v>
      </x:c>
      <x:c r="C12" s="25" t="str">
        <x:v>Journées ou événements cohérents avec le cabinet.</x:v>
      </x:c>
      <x:c r="D12" s="25" t="str">
        <x:v>Expliquer un engagement réel.</x:v>
      </x:c>
      <x:c r="E12" s="25" t="str">
        <x:v>Post incarné</x:v>
      </x:c>
      <x:c r="F12" s="25" t="str">
        <x:v>Éviter les publications opportunistes.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8" hidden="0" customWidth="1"/>
    <x:col min="4" max="4" width="44" hidden="0" customWidth="1"/>
    <x:col min="5" max="5" width="30" hidden="0" customWidth="1"/>
    <x:col min="6" max="6" width="42" hidden="0" customWidth="1"/>
    <x:col min="7" max="7" width="28" hidden="0" customWidth="1"/>
  </x:cols>
  <x:sheetData>
    <x:row r="1">
      <x:c r="A1" s="5" t="str">
        <x:v>GUIDE DE CRÉATION DE CONTENU, IA ET AMÉLIORATION CONTINUE</x:v>
      </x:c>
      <x:c r="B1" s="5"/>
      <x:c r="C1" s="5"/>
      <x:c r="D1" s="5"/>
      <x:c r="E1" s="5"/>
      <x:c r="F1" s="5"/>
      <x:c r="G1" s="5"/>
    </x:row>
    <x:row r="3">
      <x:c r="A3" s="42" t="str">
        <x:v>Méthode</x:v>
      </x:c>
      <x:c r="B3" s="42" t="str">
        <x:v>But</x:v>
      </x:c>
      <x:c r="C3" s="42" t="str">
        <x:v>Construction</x:v>
      </x:c>
      <x:c r="D3" s="42" t="str">
        <x:v>Exemple d’application</x:v>
      </x:c>
      <x:c r="E3" s="42" t="str">
        <x:v>Indicateur à observer</x:v>
      </x:c>
      <x:c r="F3" s="42" t="str">
        <x:v>Risque</x:v>
      </x:c>
      <x:c r="G3" s="42" t="str">
        <x:v>Source adaptée</x:v>
      </x:c>
    </x:row>
    <x:row r="4">
      <x:c r="A4" s="25" t="str">
        <x:v>Donner pour recevoir</x:v>
      </x:c>
      <x:c r="B4" s="25" t="str">
        <x:v>Créer de la confiance en apportant une réponse utile avant toute sollicitation commerciale.</x:v>
      </x:c>
      <x:c r="C4" s="25" t="str">
        <x:v>Problème concret → conseil immédiatement applicable → limite de la réponse → CTA non agressif.</x:v>
      </x:c>
      <x:c r="D4" s="25" t="str">
        <x:v>Checklist : les pièces à préparer avant un rendez-vous de création d’entreprise.</x:v>
      </x:c>
      <x:c r="E4" s="25" t="str">
        <x:v>Enregistrements, partages, clics, contacts.</x:v>
      </x:c>
      <x:c r="F4" s="25" t="str">
        <x:v>Donner une réponse trop vague ou, à l’inverse, transformer le contenu en consultation personnalisée.</x:v>
      </x:c>
      <x:c r="G4" s="25" t="str">
        <x:v>Mémoire Antoine Burg, p. 119-120.</x:v>
      </x:c>
    </x:row>
    <x:row r="5">
      <x:c r="A5" s="25" t="str">
        <x:v>Storytelling</x:v>
      </x:c>
      <x:c r="B5" s="25" t="str">
        <x:v>Humaniser l’expertise et faciliter la mémorisation.</x:v>
      </x:c>
      <x:c r="C5" s="25" t="str">
        <x:v>Situation → personnage → difficulté → déclic → solution → résultat → ouverture.</x:v>
      </x:c>
      <x:c r="D5" s="25" t="str">
        <x:v>Présenter une situation fictive dans laquelle un dirigeant suit sa trésorerie trop tard.</x:v>
      </x:c>
      <x:c r="E5" s="25" t="str">
        <x:v>Temps de visionnage, commentaires, messages.</x:v>
      </x:c>
      <x:c r="F5" s="25" t="str">
        <x:v>Romancer un cas réel ou révéler des informations couvertes par le secret professionnel.</x:v>
      </x:c>
      <x:c r="G5" s="25" t="str">
        <x:v>Mémoire Antoine Burg, p. 120-121.</x:v>
      </x:c>
    </x:row>
    <x:row r="6">
      <x:c r="A6" s="25" t="str">
        <x:v>Contenu pilier</x:v>
      </x:c>
      <x:c r="B6" s="25" t="str">
        <x:v>Rentabiliser un contenu de fond en le déclinant sur plusieurs plateformes.</x:v>
      </x:c>
      <x:c r="C6" s="25" t="str">
        <x:v>Article ou vidéo longue → idées clés → carrousel → vidéos courtes → FAQ → stories.</x:v>
      </x:c>
      <x:c r="D6" s="25" t="str">
        <x:v>Décliner une ressource de fond en plusieurs contenus adaptés aux plateformes retenues.</x:v>
      </x:c>
      <x:c r="E6" s="25" t="str">
        <x:v>Portée cumulée, coût par contenu, régularité.</x:v>
      </x:c>
      <x:c r="F6" s="25" t="str">
        <x:v>Copier-coller le même contenu sans l’adapter au format et au public.</x:v>
      </x:c>
      <x:c r="G6" s="25" t="str">
        <x:v>Mémoire Antoine Burg, p. 121.</x:v>
      </x:c>
    </x:row>
    <x:row r="7">
      <x:c r="A7" s="25" t="str">
        <x:v>Prompt IA</x:v>
      </x:c>
      <x:c r="B7" s="25" t="str">
        <x:v>Obtenir une première version structurée et exploitable.</x:v>
      </x:c>
      <x:c r="C7" s="25" t="str">
        <x:v>Rôle → contexte → objectif → cible → format → contraintes → sources → CTA → vérifications.</x:v>
      </x:c>
      <x:c r="D7" s="25" t="str">
        <x:v>Demander une première structure sans transmettre de données confidentielles.</x:v>
      </x:c>
      <x:c r="E7" s="25" t="str">
        <x:v>Temps de production, nombre de corrections.</x:v>
      </x:c>
      <x:c r="F7" s="25" t="str">
        <x:v>Hallucinations, contenu daté, ton générique, non-respect de la déontologie.</x:v>
      </x:c>
      <x:c r="G7" s="25" t="str">
        <x:v>Mémoire Antoine Burg, p. 56-58.</x:v>
      </x:c>
    </x:row>
    <x:row r="8">
      <x:c r="A8" s="25" t="str">
        <x:v>Top / Flop</x:v>
      </x:c>
      <x:c r="B8" s="25" t="str">
        <x:v>Identifier les caractéristiques à reproduire ou corriger.</x:v>
      </x:c>
      <x:c r="C8" s="25" t="str">
        <x:v>Choisir un KPI → comparer les meilleurs et les moins bons contenus → repérer format, thème, horaire, plateforme et étape.</x:v>
      </x:c>
      <x:c r="D8" s="25" t="str">
        <x:v>Comparer les publications les plus et les moins performantes selon les indicateurs retenus.</x:v>
      </x:c>
      <x:c r="E8" s="25" t="str">
        <x:v>KPI choisi + conversion réelle.</x:v>
      </x:c>
      <x:c r="F8" s="25" t="str">
        <x:v>Tirer des conclusions sur un échantillon trop faible ou ignorer la sponsorisation.</x:v>
      </x:c>
      <x:c r="G8" s="25" t="str">
        <x:v>Mémoire Antoine Burg, p. 149-153.</x:v>
      </x:c>
    </x:row>
    <x:row r="9">
      <x:c r="A9" s="25" t="str">
        <x:v>Animation</x:v>
      </x:c>
      <x:c r="B9" s="25" t="str">
        <x:v>Transformer les publications en dialogue.</x:v>
      </x:c>
      <x:c r="C9" s="25" t="str">
        <x:v>Répondre aux commentaires → relancer utilement → traiter les messages → capitaliser sur les questions récurrentes.</x:v>
      </x:c>
      <x:c r="D9" s="25" t="str">
        <x:v>Transformer les questions récurrentes en futurs contenus.</x:v>
      </x:c>
      <x:c r="E9" s="25" t="str">
        <x:v>Commentaires, messages, contacts.</x:v>
      </x:c>
      <x:c r="F9" s="25" t="str">
        <x:v>Réponse tardive, ton défensif, conseil personnalisé public.</x:v>
      </x:c>
      <x:c r="G9" s="25" t="str">
        <x:v>Mémoire Antoine Burg, p. 181-182.</x:v>
      </x:c>
    </x:row>
    <x:row r="10">
      <x:c r="A10" s="25" t="str">
        <x:v>Veille</x:v>
      </x:c>
      <x:c r="B10" s="25" t="str">
        <x:v>Anticiper les sujets et maintenir l’exactitude des contenus.</x:v>
      </x:c>
      <x:c r="C10" s="25" t="str">
        <x:v>Sources officielles → sélection → vérification → traduction pour la cible → planification.</x:v>
      </x:c>
      <x:c r="D10" s="25" t="str">
        <x:v>Préparer une publication à partir d’une source officielle vérifiée.</x:v>
      </x:c>
      <x:c r="E10" s="25" t="str">
        <x:v>Réactivité, portée des contenus chauds.</x:v>
      </x:c>
      <x:c r="F10" s="25" t="str">
        <x:v>Relayer une information non vérifiée ou publier trop vite.</x:v>
      </x:c>
      <x:c r="G10" s="25" t="str">
        <x:v>Mémoire Antoine Burg, p. 181-182.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9" hidden="0" customWidth="1"/>
    <x:col min="4" max="4" width="13" hidden="0" customWidth="1"/>
    <x:col min="5" max="5" width="9" hidden="0" customWidth="1"/>
    <x:col min="6" max="6" width="13" hidden="0" customWidth="1"/>
    <x:col min="7" max="7" width="10" hidden="0" customWidth="1"/>
    <x:col min="8" max="8" width="14" hidden="0" customWidth="1"/>
    <x:col min="9" max="9" width="13" hidden="0" customWidth="1"/>
    <x:col min="10" max="10" width="14" hidden="0" customWidth="1"/>
    <x:col min="11" max="11" width="19" hidden="0" customWidth="1"/>
    <x:col min="12" max="12" width="11" hidden="0" customWidth="1"/>
    <x:col min="13" max="13" width="15" hidden="0" customWidth="1"/>
    <x:col min="14" max="14" width="18" hidden="0" customWidth="1"/>
    <x:col min="15" max="15" width="15" hidden="0" customWidth="1"/>
    <x:col min="16" max="16" width="16" hidden="0" customWidth="1"/>
    <x:col min="17" max="17" width="28" hidden="0" customWidth="1"/>
    <x:col min="18" max="18" width="13" hidden="0" customWidth="1"/>
    <x:col min="19" max="19" width="16" hidden="0" customWidth="1"/>
    <x:col min="20" max="20" width="14" hidden="0" customWidth="1"/>
    <x:col min="21" max="21" width="18" hidden="0" customWidth="1"/>
    <x:col min="22" max="22" width="22" hidden="0" customWidth="1"/>
    <x:col min="23" max="23" width="20" hidden="0" customWidth="1"/>
    <x:col min="24" max="24" width="12" hidden="0" customWidth="1"/>
    <x:col min="25" max="25" width="38" hidden="0" customWidth="1"/>
    <x:col min="26" max="26" width="42" hidden="0" customWidth="1"/>
    <x:col min="27" max="27" width="28" hidden="0" customWidth="1"/>
    <x:col min="28" max="28" width="24" hidden="0" customWidth="1"/>
    <x:col min="29" max="29" width="12" hidden="0" customWidth="1"/>
    <x:col min="30" max="30" width="12" hidden="0" customWidth="1"/>
    <x:col min="31" max="31" width="11" hidden="0" customWidth="1"/>
    <x:col min="32" max="32" width="10" hidden="0" customWidth="1"/>
    <x:col min="33" max="33" width="10" hidden="0" customWidth="1"/>
    <x:col min="34" max="34" width="12" hidden="0" customWidth="1"/>
    <x:col min="35" max="35" width="10" hidden="0" customWidth="1"/>
    <x:col min="36" max="36" width="15" hidden="0" customWidth="1"/>
    <x:col min="37" max="37" width="14" hidden="0" customWidth="1"/>
    <x:col min="38" max="38" width="14" hidden="0" customWidth="1"/>
    <x:col min="39" max="39" width="15" hidden="0" customWidth="1"/>
    <x:col min="40" max="40" width="14" hidden="0" customWidth="1"/>
    <x:col min="41" max="41" width="15" hidden="0" customWidth="1"/>
    <x:col min="42" max="42" width="12" hidden="0" customWidth="1"/>
    <x:col min="43" max="43" width="13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3" hidden="0" customWidth="1"/>
    <x:col min="50" max="50" width="13" hidden="0" customWidth="1"/>
    <x:col min="51" max="51" width="38" hidden="0" customWidth="1"/>
    <x:col min="52" max="52" width="38" hidden="0" customWidth="1"/>
    <x:col min="53" max="53" width="18" hidden="0" customWidth="1"/>
  </x:cols>
  <x:sheetData>
    <x:row r="1" ht="30" customHeight="1">
      <x:c r="A1" s="137" t="str">
        <x:v>CALENDRIER ÉDITORIAL ET SUIVI DES PERFORMANCES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  <x:c r="AA1" s="137"/>
      <x:c r="AB1" s="137"/>
      <x:c r="AC1" s="137"/>
      <x:c r="AD1" s="137"/>
      <x:c r="AE1" s="137"/>
      <x:c r="AF1" s="137"/>
      <x:c r="AG1" s="137"/>
      <x:c r="AH1" s="137"/>
      <x:c r="AI1" s="137"/>
      <x:c r="AJ1" s="137"/>
      <x:c r="AK1" s="137"/>
      <x:c r="AL1" s="137"/>
      <x:c r="AM1" s="137"/>
      <x:c r="AN1" s="137"/>
      <x:c r="AO1" s="137"/>
      <x:c r="AP1" s="137"/>
      <x:c r="AQ1" s="137"/>
      <x:c r="AR1" s="137"/>
      <x:c r="AS1" s="137"/>
      <x:c r="AT1" s="137"/>
      <x:c r="AU1" s="137"/>
      <x:c r="AV1" s="137"/>
      <x:c r="AW1" s="137"/>
      <x:c r="AX1" s="137"/>
      <x:c r="AY1" s="137"/>
      <x:c r="AZ1" s="137"/>
      <x:c r="BA1" s="137"/>
    </x:row>
    <x:row r="2" ht="32" customHeight="1">
      <x:c r="A2" s="139" t="str">
        <x:v>Commencez à la ligne 6. Les cellules blanches sont à compléter ; les cellules grisées sont calculées automatiquement. Le même onglet sert à préparer les contenus puis à renseigner leurs résultats.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  <x:c r="O2" s="139"/>
      <x:c r="P2" s="139"/>
      <x:c r="Q2" s="139"/>
      <x:c r="R2" s="139"/>
      <x:c r="S2" s="139"/>
      <x:c r="T2" s="139"/>
      <x:c r="U2" s="139"/>
      <x:c r="V2" s="139"/>
      <x:c r="W2" s="139"/>
      <x:c r="X2" s="139"/>
      <x:c r="Y2" s="139"/>
      <x:c r="Z2" s="139"/>
      <x:c r="AA2" s="139"/>
      <x:c r="AB2" s="139"/>
      <x:c r="AC2" s="139"/>
      <x:c r="AD2" s="139"/>
      <x:c r="AE2" s="139"/>
      <x:c r="AF2" s="139"/>
      <x:c r="AG2" s="139"/>
      <x:c r="AH2" s="139"/>
      <x:c r="AI2" s="139"/>
      <x:c r="AJ2" s="139"/>
      <x:c r="AK2" s="139"/>
      <x:c r="AL2" s="139"/>
      <x:c r="AM2" s="139"/>
      <x:c r="AN2" s="139"/>
      <x:c r="AO2" s="139"/>
      <x:c r="AP2" s="139"/>
      <x:c r="AQ2" s="139"/>
      <x:c r="AR2" s="139"/>
      <x:c r="AS2" s="139"/>
      <x:c r="AT2" s="139"/>
      <x:c r="AU2" s="139"/>
      <x:c r="AV2" s="139"/>
      <x:c r="AW2" s="139"/>
      <x:c r="AX2" s="139"/>
      <x:c r="AY2" s="139"/>
      <x:c r="AZ2" s="139"/>
      <x:c r="BA2" s="139"/>
    </x:row>
    <x:row r="4">
      <x:c r="A4" s="74" t="str">
        <x:v>IDENTIFICATION</x:v>
      </x:c>
      <x:c r="B4" s="74"/>
      <x:c r="C4" s="74"/>
      <x:c r="D4" s="74"/>
      <x:c r="E4" s="74"/>
      <x:c r="F4" s="74"/>
      <x:c r="G4" s="74"/>
      <x:c r="H4" s="74"/>
      <x:c r="I4" s="74" t="str">
        <x:v>ORGANISATION</x:v>
      </x:c>
      <x:c r="J4" s="74"/>
      <x:c r="K4" s="74"/>
      <x:c r="L4" s="74"/>
      <x:c r="M4" s="74"/>
      <x:c r="N4" s="74"/>
      <x:c r="O4" s="74"/>
      <x:c r="P4" s="74" t="str">
        <x:v>STRATÉGIE</x:v>
      </x:c>
      <x:c r="Q4" s="74"/>
      <x:c r="R4" s="74"/>
      <x:c r="S4" s="74"/>
      <x:c r="T4" s="74"/>
      <x:c r="U4" s="74"/>
      <x:c r="V4" s="74"/>
      <x:c r="W4" s="74"/>
      <x:c r="X4" s="74"/>
      <x:c r="Y4" s="74" t="str">
        <x:v>PUBLICATION</x:v>
      </x:c>
      <x:c r="Z4" s="74"/>
      <x:c r="AA4" s="74"/>
      <x:c r="AB4" s="74"/>
      <x:c r="AC4" s="74" t="str">
        <x:v>PERFORMANCE</x:v>
      </x:c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 t="str">
        <x:v>CONVERSION &amp; BUSINESS</x:v>
      </x:c>
      <x:c r="AP4" s="74"/>
      <x:c r="AQ4" s="74"/>
      <x:c r="AR4" s="74"/>
      <x:c r="AS4" s="74"/>
      <x:c r="AT4" s="74"/>
      <x:c r="AU4" s="74"/>
      <x:c r="AV4" s="74" t="str">
        <x:v>COÛTS</x:v>
      </x:c>
      <x:c r="AW4" s="74"/>
      <x:c r="AX4" s="74"/>
      <x:c r="AY4" s="74" t="str">
        <x:v>ANALYSE</x:v>
      </x:c>
      <x:c r="AZ4" s="74"/>
      <x:c r="BA4" s="74"/>
    </x:row>
    <x:row r="5" ht="45" customHeight="1">
      <x:c r="A5" s="42" t="str">
        <x:v>ID</x:v>
      </x:c>
      <x:c r="B5" s="42" t="str">
        <x:v>Date publication</x:v>
      </x:c>
      <x:c r="C5" s="42" t="str">
        <x:v>Année</x:v>
      </x:c>
      <x:c r="D5" s="42" t="str">
        <x:v>Mois</x:v>
      </x:c>
      <x:c r="E5" s="42" t="str">
        <x:v>Semaine</x:v>
      </x:c>
      <x:c r="F5" s="42" t="str">
        <x:v>Jour</x:v>
      </x:c>
      <x:c r="G5" s="42" t="str">
        <x:v>Heure</x:v>
      </x:c>
      <x:c r="H5" s="42" t="str">
        <x:v>Créneau</x:v>
      </x:c>
      <x:c r="I5" s="42" t="str">
        <x:v>Plateforme</x:v>
      </x:c>
      <x:c r="J5" s="42" t="str">
        <x:v>Statut</x:v>
      </x:c>
      <x:c r="K5" s="42" t="str">
        <x:v>Créateur</x:v>
      </x:c>
      <x:c r="L5" s="42" t="str">
        <x:v>IA utilisée</x:v>
      </x:c>
      <x:c r="M5" s="42" t="str">
        <x:v>Contrôle humain</x:v>
      </x:c>
      <x:c r="N5" s="42" t="str">
        <x:v>Validé par</x:v>
      </x:c>
      <x:c r="O5" s="42" t="str">
        <x:v>Date programmation</x:v>
      </x:c>
      <x:c r="P5" s="42" t="str">
        <x:v>Objectif réseau</x:v>
      </x:c>
      <x:c r="Q5" s="42" t="str">
        <x:v>Objectif business</x:v>
      </x:c>
      <x:c r="R5" s="42" t="str">
        <x:v>Type contenu</x:v>
      </x:c>
      <x:c r="S5" s="42" t="str">
        <x:v>Thématique</x:v>
      </x:c>
      <x:c r="T5" s="42" t="str">
        <x:v>Nature</x:v>
      </x:c>
      <x:c r="U5" s="42" t="str">
        <x:v>Étape See–Think–Do</x:v>
      </x:c>
      <x:c r="V5" s="42" t="str">
        <x:v>Méthode de création</x:v>
      </x:c>
      <x:c r="W5" s="42" t="str">
        <x:v>Format</x:v>
      </x:c>
      <x:c r="X5" s="42" t="str">
        <x:v>Durée (sec.)</x:v>
      </x:c>
      <x:c r="Y5" s="42" t="str">
        <x:v>Sujet</x:v>
      </x:c>
      <x:c r="Z5" s="42" t="str">
        <x:v>Message clé</x:v>
      </x:c>
      <x:c r="AA5" s="42" t="str">
        <x:v>Appel à l’action</x:v>
      </x:c>
      <x:c r="AB5" s="42" t="str">
        <x:v>Lien publication</x:v>
      </x:c>
      <x:c r="AC5" s="42" t="str">
        <x:v>Impressions</x:v>
      </x:c>
      <x:c r="AD5" s="42" t="str">
        <x:v>Portée</x:v>
      </x:c>
      <x:c r="AE5" s="42" t="str">
        <x:v>Vues</x:v>
      </x:c>
      <x:c r="AF5" s="42" t="str">
        <x:v>Clics</x:v>
      </x:c>
      <x:c r="AG5" s="42" t="str">
        <x:v>J’aime</x:v>
      </x:c>
      <x:c r="AH5" s="42" t="str">
        <x:v>Commentaires</x:v>
      </x:c>
      <x:c r="AI5" s="42" t="str">
        <x:v>Partages</x:v>
      </x:c>
      <x:c r="AJ5" s="42" t="str">
        <x:v>Enregistrements</x:v>
      </x:c>
      <x:c r="AK5" s="42" t="str">
        <x:v>Engagement total</x:v>
      </x:c>
      <x:c r="AL5" s="42" t="str">
        <x:v>Taux d’engagement</x:v>
      </x:c>
      <x:c r="AM5" s="42" t="str">
        <x:v>Nouveaux abonnés</x:v>
      </x:c>
      <x:c r="AN5" s="42" t="str">
        <x:v>Messages privés</x:v>
      </x:c>
      <x:c r="AO5" s="42" t="str">
        <x:v>Prises de contact</x:v>
      </x:c>
      <x:c r="AP5" s="42" t="str">
        <x:v>Rendez-vous</x:v>
      </x:c>
      <x:c r="AQ5" s="42" t="str">
        <x:v>Mission signée</x:v>
      </x:c>
      <x:c r="AR5" s="42" t="str">
        <x:v>Type mission</x:v>
      </x:c>
      <x:c r="AS5" s="42" t="str">
        <x:v>CA généré</x:v>
      </x:c>
      <x:c r="AT5" s="42" t="str">
        <x:v>CA récurrent</x:v>
      </x:c>
      <x:c r="AU5" s="42" t="str">
        <x:v>CA exceptionnel</x:v>
      </x:c>
      <x:c r="AV5" s="42" t="str">
        <x:v>Temps production (h)</x:v>
      </x:c>
      <x:c r="AW5" s="42" t="str">
        <x:v>Coût externe</x:v>
      </x:c>
      <x:c r="AX5" s="42" t="str">
        <x:v>Coût total</x:v>
      </x:c>
      <x:c r="AY5" s="42" t="str">
        <x:v>Analyse</x:v>
      </x:c>
      <x:c r="AZ5" s="42" t="str">
        <x:v>Action corrective</x:v>
      </x:c>
      <x:c r="BA5" s="42" t="str">
        <x:v>Statut optimisation</x:v>
      </x:c>
    </x:row>
    <x:row r="6">
      <x:c r="A6" s="78" t="str">
        <x:f>IF(B6="","",ROW()-5)</x:f>
      </x:c>
      <x:c r="B6" s="80"/>
      <x:c r="C6" s="78" t="str">
        <x:f>IF(B6="","",YEAR(B6))</x:f>
      </x:c>
      <x:c r="D6" s="78" t="str">
        <x:f>IF(B6="","",CHOOSE(MONTH(B6),"Janvier","Février","Mars","Avril","Mai","Juin","Juillet","Août","Septembre","Octobre","Novembre","Décembre"))</x:f>
      </x:c>
      <x:c r="E6" s="78" t="str">
        <x:f>IF(B6="","",WEEKNUM(B6,2))</x:f>
      </x:c>
      <x:c r="F6" s="78" t="str">
        <x:f>IF(B6="","",CHOOSE(WEEKDAY(B6,2),"Lundi","Mardi","Mercredi","Jeudi","Vendredi","Samedi","Dimanche"))</x:f>
      </x:c>
      <x:c r="G6" s="82"/>
      <x:c r="H6" s="78" t="str">
        <x:f>IF(G6="","",IF(G6&lt;TIME(11,0,0),"Matin",IF(G6&lt;TIME(15,0,0),"Midi",IF(G6&lt;TIME(18,0,0),"Après-midi","Soir"))))</x:f>
      </x:c>
      <x:c r="I6" s="25"/>
      <x:c r="J6" s="25"/>
      <x:c r="K6" s="25"/>
      <x:c r="L6" s="25"/>
      <x:c r="M6" s="25"/>
      <x:c r="N6" s="25"/>
      <x:c r="O6" s="80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  <x:c r="AA6" s="25"/>
      <x:c r="AB6" s="25"/>
      <x:c r="AC6" s="92"/>
      <x:c r="AD6" s="92"/>
      <x:c r="AE6" s="92"/>
      <x:c r="AF6" s="92"/>
      <x:c r="AG6" s="92"/>
      <x:c r="AH6" s="92"/>
      <x:c r="AI6" s="92"/>
      <x:c r="AJ6" s="92"/>
      <x:c r="AK6" s="94" t="str">
        <x:f>IF(B6="","",SUM(AG6:AJ6))</x:f>
      </x:c>
      <x:c r="AL6" s="84" t="n">
        <x:f>IFERROR(AK6/AD6,0)</x:f>
        <x:v>0</x:v>
      </x:c>
      <x:c r="AM6" s="92"/>
      <x:c r="AN6" s="92"/>
      <x:c r="AO6" s="92"/>
      <x:c r="AP6" s="92"/>
      <x:c r="AQ6" s="25"/>
      <x:c r="AR6" s="25"/>
      <x:c r="AS6" s="86"/>
      <x:c r="AT6" s="86"/>
      <x:c r="AU6" s="86"/>
      <x:c r="AV6" s="90"/>
      <x:c r="AW6" s="86"/>
      <x:c r="AX6" s="88" t="str">
        <x:f>IF(B6="","",AV6*'Paramètres'!$B$4+AW6)</x:f>
      </x:c>
      <x:c r="AY6" s="25"/>
      <x:c r="AZ6" s="25"/>
      <x:c r="BA6" s="25"/>
    </x:row>
    <x:row r="7">
      <x:c r="A7" s="78" t="str">
        <x:f>IF(B7="","",ROW()-5)</x:f>
      </x:c>
      <x:c r="B7" s="80"/>
      <x:c r="C7" s="78" t="str">
        <x:f>IF(B7="","",YEAR(B7))</x:f>
      </x:c>
      <x:c r="D7" s="78" t="str">
        <x:f>IF(B7="","",CHOOSE(MONTH(B7),"Janvier","Février","Mars","Avril","Mai","Juin","Juillet","Août","Septembre","Octobre","Novembre","Décembre"))</x:f>
      </x:c>
      <x:c r="E7" s="78" t="str">
        <x:f>IF(B7="","",WEEKNUM(B7,2))</x:f>
      </x:c>
      <x:c r="F7" s="78" t="str">
        <x:f>IF(B7="","",CHOOSE(WEEKDAY(B7,2),"Lundi","Mardi","Mercredi","Jeudi","Vendredi","Samedi","Dimanche"))</x:f>
      </x:c>
      <x:c r="G7" s="82"/>
      <x:c r="H7" s="78" t="str">
        <x:f>IF(G7="","",IF(G7&lt;TIME(11,0,0),"Matin",IF(G7&lt;TIME(15,0,0),"Midi",IF(G7&lt;TIME(18,0,0),"Après-midi","Soir"))))</x:f>
      </x:c>
      <x:c r="I7" s="25"/>
      <x:c r="J7" s="25"/>
      <x:c r="K7" s="25"/>
      <x:c r="L7" s="25"/>
      <x:c r="M7" s="25"/>
      <x:c r="N7" s="25"/>
      <x:c r="O7" s="80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  <x:c r="AB7" s="25"/>
      <x:c r="AC7" s="92"/>
      <x:c r="AD7" s="92"/>
      <x:c r="AE7" s="92"/>
      <x:c r="AF7" s="92"/>
      <x:c r="AG7" s="92"/>
      <x:c r="AH7" s="92"/>
      <x:c r="AI7" s="92"/>
      <x:c r="AJ7" s="92"/>
      <x:c r="AK7" s="94" t="str">
        <x:f>IF(B7="","",SUM(AG7:AJ7))</x:f>
      </x:c>
      <x:c r="AL7" s="84" t="n">
        <x:f>IFERROR(AK7/AD7,0)</x:f>
        <x:v>0</x:v>
      </x:c>
      <x:c r="AM7" s="92"/>
      <x:c r="AN7" s="92"/>
      <x:c r="AO7" s="92"/>
      <x:c r="AP7" s="92"/>
      <x:c r="AQ7" s="25"/>
      <x:c r="AR7" s="25"/>
      <x:c r="AS7" s="86"/>
      <x:c r="AT7" s="86"/>
      <x:c r="AU7" s="86"/>
      <x:c r="AV7" s="90"/>
      <x:c r="AW7" s="86"/>
      <x:c r="AX7" s="88" t="str">
        <x:f>IF(B7="","",AV7*'Paramètres'!$B$4+AW7)</x:f>
      </x:c>
      <x:c r="AY7" s="25"/>
      <x:c r="AZ7" s="25"/>
      <x:c r="BA7" s="25"/>
    </x:row>
    <x:row r="8">
      <x:c r="A8" s="78" t="str">
        <x:f>IF(B8="","",ROW()-5)</x:f>
      </x:c>
      <x:c r="B8" s="80"/>
      <x:c r="C8" s="78" t="str">
        <x:f>IF(B8="","",YEAR(B8))</x:f>
      </x:c>
      <x:c r="D8" s="78" t="str">
        <x:f>IF(B8="","",CHOOSE(MONTH(B8),"Janvier","Février","Mars","Avril","Mai","Juin","Juillet","Août","Septembre","Octobre","Novembre","Décembre"))</x:f>
      </x:c>
      <x:c r="E8" s="78" t="str">
        <x:f>IF(B8="","",WEEKNUM(B8,2))</x:f>
      </x:c>
      <x:c r="F8" s="78" t="str">
        <x:f>IF(B8="","",CHOOSE(WEEKDAY(B8,2),"Lundi","Mardi","Mercredi","Jeudi","Vendredi","Samedi","Dimanche"))</x:f>
      </x:c>
      <x:c r="G8" s="82"/>
      <x:c r="H8" s="78" t="str">
        <x:f>IF(G8="","",IF(G8&lt;TIME(11,0,0),"Matin",IF(G8&lt;TIME(15,0,0),"Midi",IF(G8&lt;TIME(18,0,0),"Après-midi","Soir"))))</x:f>
      </x:c>
      <x:c r="I8" s="25"/>
      <x:c r="J8" s="25"/>
      <x:c r="K8" s="25"/>
      <x:c r="L8" s="25"/>
      <x:c r="M8" s="25"/>
      <x:c r="N8" s="25"/>
      <x:c r="O8" s="80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  <x:c r="AB8" s="25"/>
      <x:c r="AC8" s="92"/>
      <x:c r="AD8" s="92"/>
      <x:c r="AE8" s="92"/>
      <x:c r="AF8" s="92"/>
      <x:c r="AG8" s="92"/>
      <x:c r="AH8" s="92"/>
      <x:c r="AI8" s="92"/>
      <x:c r="AJ8" s="92"/>
      <x:c r="AK8" s="94" t="str">
        <x:f>IF(B8="","",SUM(AG8:AJ8))</x:f>
      </x:c>
      <x:c r="AL8" s="84" t="n">
        <x:f>IFERROR(AK8/AD8,0)</x:f>
        <x:v>0</x:v>
      </x:c>
      <x:c r="AM8" s="92"/>
      <x:c r="AN8" s="92"/>
      <x:c r="AO8" s="92"/>
      <x:c r="AP8" s="92"/>
      <x:c r="AQ8" s="25"/>
      <x:c r="AR8" s="25"/>
      <x:c r="AS8" s="86"/>
      <x:c r="AT8" s="86"/>
      <x:c r="AU8" s="86"/>
      <x:c r="AV8" s="90"/>
      <x:c r="AW8" s="86"/>
      <x:c r="AX8" s="88" t="str">
        <x:f>IF(B8="","",AV8*'Paramètres'!$B$4+AW8)</x:f>
      </x:c>
      <x:c r="AY8" s="25"/>
      <x:c r="AZ8" s="25"/>
      <x:c r="BA8" s="25"/>
    </x:row>
    <x:row r="9">
      <x:c r="A9" s="78" t="str">
        <x:f>IF(B9="","",ROW()-5)</x:f>
      </x:c>
      <x:c r="B9" s="80"/>
      <x:c r="C9" s="78" t="str">
        <x:f>IF(B9="","",YEAR(B9))</x:f>
      </x:c>
      <x:c r="D9" s="78" t="str">
        <x:f>IF(B9="","",CHOOSE(MONTH(B9),"Janvier","Février","Mars","Avril","Mai","Juin","Juillet","Août","Septembre","Octobre","Novembre","Décembre"))</x:f>
      </x:c>
      <x:c r="E9" s="78" t="str">
        <x:f>IF(B9="","",WEEKNUM(B9,2))</x:f>
      </x:c>
      <x:c r="F9" s="78" t="str">
        <x:f>IF(B9="","",CHOOSE(WEEKDAY(B9,2),"Lundi","Mardi","Mercredi","Jeudi","Vendredi","Samedi","Dimanche"))</x:f>
      </x:c>
      <x:c r="G9" s="82"/>
      <x:c r="H9" s="78" t="str">
        <x:f>IF(G9="","",IF(G9&lt;TIME(11,0,0),"Matin",IF(G9&lt;TIME(15,0,0),"Midi",IF(G9&lt;TIME(18,0,0),"Après-midi","Soir"))))</x:f>
      </x:c>
      <x:c r="I9" s="25"/>
      <x:c r="J9" s="25"/>
      <x:c r="K9" s="25"/>
      <x:c r="L9" s="25"/>
      <x:c r="M9" s="25"/>
      <x:c r="N9" s="25"/>
      <x:c r="O9" s="80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  <x:c r="AA9" s="25"/>
      <x:c r="AB9" s="25"/>
      <x:c r="AC9" s="92"/>
      <x:c r="AD9" s="92"/>
      <x:c r="AE9" s="92"/>
      <x:c r="AF9" s="92"/>
      <x:c r="AG9" s="92"/>
      <x:c r="AH9" s="92"/>
      <x:c r="AI9" s="92"/>
      <x:c r="AJ9" s="92"/>
      <x:c r="AK9" s="94" t="str">
        <x:f>IF(B9="","",SUM(AG9:AJ9))</x:f>
      </x:c>
      <x:c r="AL9" s="84" t="n">
        <x:f>IFERROR(AK9/AD9,0)</x:f>
        <x:v>0</x:v>
      </x:c>
      <x:c r="AM9" s="92"/>
      <x:c r="AN9" s="92"/>
      <x:c r="AO9" s="92"/>
      <x:c r="AP9" s="92"/>
      <x:c r="AQ9" s="25"/>
      <x:c r="AR9" s="25"/>
      <x:c r="AS9" s="86"/>
      <x:c r="AT9" s="86"/>
      <x:c r="AU9" s="86"/>
      <x:c r="AV9" s="90"/>
      <x:c r="AW9" s="86"/>
      <x:c r="AX9" s="88" t="str">
        <x:f>IF(B9="","",AV9*'Paramètres'!$B$4+AW9)</x:f>
      </x:c>
      <x:c r="AY9" s="25"/>
      <x:c r="AZ9" s="25"/>
      <x:c r="BA9" s="25"/>
    </x:row>
    <x:row r="10">
      <x:c r="A10" s="78" t="str">
        <x:f>IF(B10="","",ROW()-5)</x:f>
      </x:c>
      <x:c r="B10" s="80"/>
      <x:c r="C10" s="78" t="str">
        <x:f>IF(B10="","",YEAR(B10))</x:f>
      </x:c>
      <x:c r="D10" s="78" t="str">
        <x:f>IF(B10="","",CHOOSE(MONTH(B10),"Janvier","Février","Mars","Avril","Mai","Juin","Juillet","Août","Septembre","Octobre","Novembre","Décembre"))</x:f>
      </x:c>
      <x:c r="E10" s="78" t="str">
        <x:f>IF(B10="","",WEEKNUM(B10,2))</x:f>
      </x:c>
      <x:c r="F10" s="78" t="str">
        <x:f>IF(B10="","",CHOOSE(WEEKDAY(B10,2),"Lundi","Mardi","Mercredi","Jeudi","Vendredi","Samedi","Dimanche"))</x:f>
      </x:c>
      <x:c r="G10" s="82"/>
      <x:c r="H10" s="78" t="str">
        <x:f>IF(G10="","",IF(G10&lt;TIME(11,0,0),"Matin",IF(G10&lt;TIME(15,0,0),"Midi",IF(G10&lt;TIME(18,0,0),"Après-midi","Soir"))))</x:f>
      </x:c>
      <x:c r="I10" s="25"/>
      <x:c r="J10" s="25"/>
      <x:c r="K10" s="25"/>
      <x:c r="L10" s="25"/>
      <x:c r="M10" s="25"/>
      <x:c r="N10" s="25"/>
      <x:c r="O10" s="80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  <x:c r="AA10" s="25"/>
      <x:c r="AB10" s="25"/>
      <x:c r="AC10" s="92"/>
      <x:c r="AD10" s="92"/>
      <x:c r="AE10" s="92"/>
      <x:c r="AF10" s="92"/>
      <x:c r="AG10" s="92"/>
      <x:c r="AH10" s="92"/>
      <x:c r="AI10" s="92"/>
      <x:c r="AJ10" s="92"/>
      <x:c r="AK10" s="94" t="str">
        <x:f>IF(B10="","",SUM(AG10:AJ10))</x:f>
      </x:c>
      <x:c r="AL10" s="84" t="n">
        <x:f>IFERROR(AK10/AD10,0)</x:f>
        <x:v>0</x:v>
      </x:c>
      <x:c r="AM10" s="92"/>
      <x:c r="AN10" s="92"/>
      <x:c r="AO10" s="92"/>
      <x:c r="AP10" s="92"/>
      <x:c r="AQ10" s="25"/>
      <x:c r="AR10" s="25"/>
      <x:c r="AS10" s="86"/>
      <x:c r="AT10" s="86"/>
      <x:c r="AU10" s="86"/>
      <x:c r="AV10" s="90"/>
      <x:c r="AW10" s="86"/>
      <x:c r="AX10" s="88" t="str">
        <x:f>IF(B10="","",AV10*'Paramètres'!$B$4+AW10)</x:f>
      </x:c>
      <x:c r="AY10" s="25"/>
      <x:c r="AZ10" s="25"/>
      <x:c r="BA10" s="25"/>
    </x:row>
    <x:row r="11">
      <x:c r="A11" s="78" t="str">
        <x:f>IF(B11="","",ROW()-5)</x:f>
      </x:c>
      <x:c r="B11" s="80"/>
      <x:c r="C11" s="78" t="str">
        <x:f>IF(B11="","",YEAR(B11))</x:f>
      </x:c>
      <x:c r="D11" s="78" t="str">
        <x:f>IF(B11="","",CHOOSE(MONTH(B11),"Janvier","Février","Mars","Avril","Mai","Juin","Juillet","Août","Septembre","Octobre","Novembre","Décembre"))</x:f>
      </x:c>
      <x:c r="E11" s="78" t="str">
        <x:f>IF(B11="","",WEEKNUM(B11,2))</x:f>
      </x:c>
      <x:c r="F11" s="78" t="str">
        <x:f>IF(B11="","",CHOOSE(WEEKDAY(B11,2),"Lundi","Mardi","Mercredi","Jeudi","Vendredi","Samedi","Dimanche"))</x:f>
      </x:c>
      <x:c r="G11" s="82"/>
      <x:c r="H11" s="78" t="str">
        <x:f>IF(G11="","",IF(G11&lt;TIME(11,0,0),"Matin",IF(G11&lt;TIME(15,0,0),"Midi",IF(G11&lt;TIME(18,0,0),"Après-midi","Soir"))))</x:f>
      </x:c>
      <x:c r="I11" s="25"/>
      <x:c r="J11" s="25"/>
      <x:c r="K11" s="25"/>
      <x:c r="L11" s="25"/>
      <x:c r="M11" s="25"/>
      <x:c r="N11" s="25"/>
      <x:c r="O11" s="80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  <x:c r="AA11" s="25"/>
      <x:c r="AB11" s="25"/>
      <x:c r="AC11" s="92"/>
      <x:c r="AD11" s="92"/>
      <x:c r="AE11" s="92"/>
      <x:c r="AF11" s="92"/>
      <x:c r="AG11" s="92"/>
      <x:c r="AH11" s="92"/>
      <x:c r="AI11" s="92"/>
      <x:c r="AJ11" s="92"/>
      <x:c r="AK11" s="94" t="str">
        <x:f>IF(B11="","",SUM(AG11:AJ11))</x:f>
      </x:c>
      <x:c r="AL11" s="84" t="n">
        <x:f>IFERROR(AK11/AD11,0)</x:f>
        <x:v>0</x:v>
      </x:c>
      <x:c r="AM11" s="92"/>
      <x:c r="AN11" s="92"/>
      <x:c r="AO11" s="92"/>
      <x:c r="AP11" s="92"/>
      <x:c r="AQ11" s="25"/>
      <x:c r="AR11" s="25"/>
      <x:c r="AS11" s="86"/>
      <x:c r="AT11" s="86"/>
      <x:c r="AU11" s="86"/>
      <x:c r="AV11" s="90"/>
      <x:c r="AW11" s="86"/>
      <x:c r="AX11" s="88" t="str">
        <x:f>IF(B11="","",AV11*'Paramètres'!$B$4+AW11)</x:f>
      </x:c>
      <x:c r="AY11" s="25"/>
      <x:c r="AZ11" s="25"/>
      <x:c r="BA11" s="25"/>
    </x:row>
    <x:row r="12">
      <x:c r="A12" s="78" t="str">
        <x:f>IF(B12="","",ROW()-5)</x:f>
      </x:c>
      <x:c r="B12" s="80"/>
      <x:c r="C12" s="78" t="str">
        <x:f>IF(B12="","",YEAR(B12))</x:f>
      </x:c>
      <x:c r="D12" s="78" t="str">
        <x:f>IF(B12="","",CHOOSE(MONTH(B12),"Janvier","Février","Mars","Avril","Mai","Juin","Juillet","Août","Septembre","Octobre","Novembre","Décembre"))</x:f>
      </x:c>
      <x:c r="E12" s="78" t="str">
        <x:f>IF(B12="","",WEEKNUM(B12,2))</x:f>
      </x:c>
      <x:c r="F12" s="78" t="str">
        <x:f>IF(B12="","",CHOOSE(WEEKDAY(B12,2),"Lundi","Mardi","Mercredi","Jeudi","Vendredi","Samedi","Dimanche"))</x:f>
      </x:c>
      <x:c r="G12" s="82"/>
      <x:c r="H12" s="78" t="str">
        <x:f>IF(G12="","",IF(G12&lt;TIME(11,0,0),"Matin",IF(G12&lt;TIME(15,0,0),"Midi",IF(G12&lt;TIME(18,0,0),"Après-midi","Soir"))))</x:f>
      </x:c>
      <x:c r="I12" s="25"/>
      <x:c r="J12" s="25"/>
      <x:c r="K12" s="25"/>
      <x:c r="L12" s="25"/>
      <x:c r="M12" s="25"/>
      <x:c r="N12" s="25"/>
      <x:c r="O12" s="80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  <x:c r="AA12" s="25"/>
      <x:c r="AB12" s="25"/>
      <x:c r="AC12" s="92"/>
      <x:c r="AD12" s="92"/>
      <x:c r="AE12" s="92"/>
      <x:c r="AF12" s="92"/>
      <x:c r="AG12" s="92"/>
      <x:c r="AH12" s="92"/>
      <x:c r="AI12" s="92"/>
      <x:c r="AJ12" s="92"/>
      <x:c r="AK12" s="94" t="str">
        <x:f>IF(B12="","",SUM(AG12:AJ12))</x:f>
      </x:c>
      <x:c r="AL12" s="84" t="n">
        <x:f>IFERROR(AK12/AD12,0)</x:f>
        <x:v>0</x:v>
      </x:c>
      <x:c r="AM12" s="92"/>
      <x:c r="AN12" s="92"/>
      <x:c r="AO12" s="92"/>
      <x:c r="AP12" s="92"/>
      <x:c r="AQ12" s="25"/>
      <x:c r="AR12" s="25"/>
      <x:c r="AS12" s="86"/>
      <x:c r="AT12" s="86"/>
      <x:c r="AU12" s="86"/>
      <x:c r="AV12" s="90"/>
      <x:c r="AW12" s="86"/>
      <x:c r="AX12" s="88" t="str">
        <x:f>IF(B12="","",AV12*'Paramètres'!$B$4+AW12)</x:f>
      </x:c>
      <x:c r="AY12" s="25"/>
      <x:c r="AZ12" s="25"/>
      <x:c r="BA12" s="25"/>
    </x:row>
    <x:row r="13">
      <x:c r="A13" s="78" t="str">
        <x:f>IF(B13="","",ROW()-5)</x:f>
      </x:c>
      <x:c r="B13" s="80"/>
      <x:c r="C13" s="78" t="str">
        <x:f>IF(B13="","",YEAR(B13))</x:f>
      </x:c>
      <x:c r="D13" s="78" t="str">
        <x:f>IF(B13="","",CHOOSE(MONTH(B13),"Janvier","Février","Mars","Avril","Mai","Juin","Juillet","Août","Septembre","Octobre","Novembre","Décembre"))</x:f>
      </x:c>
      <x:c r="E13" s="78" t="str">
        <x:f>IF(B13="","",WEEKNUM(B13,2))</x:f>
      </x:c>
      <x:c r="F13" s="78" t="str">
        <x:f>IF(B13="","",CHOOSE(WEEKDAY(B13,2),"Lundi","Mardi","Mercredi","Jeudi","Vendredi","Samedi","Dimanche"))</x:f>
      </x:c>
      <x:c r="G13" s="82"/>
      <x:c r="H13" s="78" t="str">
        <x:f>IF(G13="","",IF(G13&lt;TIME(11,0,0),"Matin",IF(G13&lt;TIME(15,0,0),"Midi",IF(G13&lt;TIME(18,0,0),"Après-midi","Soir"))))</x:f>
      </x:c>
      <x:c r="I13" s="25"/>
      <x:c r="J13" s="25"/>
      <x:c r="K13" s="25"/>
      <x:c r="L13" s="25"/>
      <x:c r="M13" s="25"/>
      <x:c r="N13" s="25"/>
      <x:c r="O13" s="80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  <x:c r="AA13" s="25"/>
      <x:c r="AB13" s="25"/>
      <x:c r="AC13" s="92"/>
      <x:c r="AD13" s="92"/>
      <x:c r="AE13" s="92"/>
      <x:c r="AF13" s="92"/>
      <x:c r="AG13" s="92"/>
      <x:c r="AH13" s="92"/>
      <x:c r="AI13" s="92"/>
      <x:c r="AJ13" s="92"/>
      <x:c r="AK13" s="94" t="str">
        <x:f>IF(B13="","",SUM(AG13:AJ13))</x:f>
      </x:c>
      <x:c r="AL13" s="84" t="n">
        <x:f>IFERROR(AK13/AD13,0)</x:f>
        <x:v>0</x:v>
      </x:c>
      <x:c r="AM13" s="92"/>
      <x:c r="AN13" s="92"/>
      <x:c r="AO13" s="92"/>
      <x:c r="AP13" s="92"/>
      <x:c r="AQ13" s="25"/>
      <x:c r="AR13" s="25"/>
      <x:c r="AS13" s="86"/>
      <x:c r="AT13" s="86"/>
      <x:c r="AU13" s="86"/>
      <x:c r="AV13" s="90"/>
      <x:c r="AW13" s="86"/>
      <x:c r="AX13" s="88" t="str">
        <x:f>IF(B13="","",AV13*'Paramètres'!$B$4+AW13)</x:f>
      </x:c>
      <x:c r="AY13" s="25"/>
      <x:c r="AZ13" s="25"/>
      <x:c r="BA13" s="25"/>
    </x:row>
    <x:row r="14">
      <x:c r="A14" s="78" t="str">
        <x:f>IF(B14="","",ROW()-5)</x:f>
      </x:c>
      <x:c r="B14" s="80"/>
      <x:c r="C14" s="78" t="str">
        <x:f>IF(B14="","",YEAR(B14))</x:f>
      </x:c>
      <x:c r="D14" s="78" t="str">
        <x:f>IF(B14="","",CHOOSE(MONTH(B14),"Janvier","Février","Mars","Avril","Mai","Juin","Juillet","Août","Septembre","Octobre","Novembre","Décembre"))</x:f>
      </x:c>
      <x:c r="E14" s="78" t="str">
        <x:f>IF(B14="","",WEEKNUM(B14,2))</x:f>
      </x:c>
      <x:c r="F14" s="78" t="str">
        <x:f>IF(B14="","",CHOOSE(WEEKDAY(B14,2),"Lundi","Mardi","Mercredi","Jeudi","Vendredi","Samedi","Dimanche"))</x:f>
      </x:c>
      <x:c r="G14" s="82"/>
      <x:c r="H14" s="78" t="str">
        <x:f>IF(G14="","",IF(G14&lt;TIME(11,0,0),"Matin",IF(G14&lt;TIME(15,0,0),"Midi",IF(G14&lt;TIME(18,0,0),"Après-midi","Soir"))))</x:f>
      </x:c>
      <x:c r="I14" s="25"/>
      <x:c r="J14" s="25"/>
      <x:c r="K14" s="25"/>
      <x:c r="L14" s="25"/>
      <x:c r="M14" s="25"/>
      <x:c r="N14" s="25"/>
      <x:c r="O14" s="80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  <x:c r="AA14" s="25"/>
      <x:c r="AB14" s="25"/>
      <x:c r="AC14" s="92"/>
      <x:c r="AD14" s="92"/>
      <x:c r="AE14" s="92"/>
      <x:c r="AF14" s="92"/>
      <x:c r="AG14" s="92"/>
      <x:c r="AH14" s="92"/>
      <x:c r="AI14" s="92"/>
      <x:c r="AJ14" s="92"/>
      <x:c r="AK14" s="94" t="str">
        <x:f>IF(B14="","",SUM(AG14:AJ14))</x:f>
      </x:c>
      <x:c r="AL14" s="84" t="n">
        <x:f>IFERROR(AK14/AD14,0)</x:f>
        <x:v>0</x:v>
      </x:c>
      <x:c r="AM14" s="92"/>
      <x:c r="AN14" s="92"/>
      <x:c r="AO14" s="92"/>
      <x:c r="AP14" s="92"/>
      <x:c r="AQ14" s="25"/>
      <x:c r="AR14" s="25"/>
      <x:c r="AS14" s="86"/>
      <x:c r="AT14" s="86"/>
      <x:c r="AU14" s="86"/>
      <x:c r="AV14" s="90"/>
      <x:c r="AW14" s="86"/>
      <x:c r="AX14" s="88" t="str">
        <x:f>IF(B14="","",AV14*'Paramètres'!$B$4+AW14)</x:f>
      </x:c>
      <x:c r="AY14" s="25"/>
      <x:c r="AZ14" s="25"/>
      <x:c r="BA14" s="25"/>
    </x:row>
    <x:row r="15">
      <x:c r="A15" s="78" t="str">
        <x:f>IF(B15="","",ROW()-5)</x:f>
      </x:c>
      <x:c r="B15" s="80"/>
      <x:c r="C15" s="78" t="str">
        <x:f>IF(B15="","",YEAR(B15))</x:f>
      </x:c>
      <x:c r="D15" s="78" t="str">
        <x:f>IF(B15="","",CHOOSE(MONTH(B15),"Janvier","Février","Mars","Avril","Mai","Juin","Juillet","Août","Septembre","Octobre","Novembre","Décembre"))</x:f>
      </x:c>
      <x:c r="E15" s="78" t="str">
        <x:f>IF(B15="","",WEEKNUM(B15,2))</x:f>
      </x:c>
      <x:c r="F15" s="78" t="str">
        <x:f>IF(B15="","",CHOOSE(WEEKDAY(B15,2),"Lundi","Mardi","Mercredi","Jeudi","Vendredi","Samedi","Dimanche"))</x:f>
      </x:c>
      <x:c r="G15" s="82"/>
      <x:c r="H15" s="78" t="str">
        <x:f>IF(G15="","",IF(G15&lt;TIME(11,0,0),"Matin",IF(G15&lt;TIME(15,0,0),"Midi",IF(G15&lt;TIME(18,0,0),"Après-midi","Soir"))))</x:f>
      </x:c>
      <x:c r="I15" s="25"/>
      <x:c r="J15" s="25"/>
      <x:c r="K15" s="25"/>
      <x:c r="L15" s="25"/>
      <x:c r="M15" s="25"/>
      <x:c r="N15" s="25"/>
      <x:c r="O15" s="80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  <x:c r="AA15" s="25"/>
      <x:c r="AB15" s="25"/>
      <x:c r="AC15" s="92"/>
      <x:c r="AD15" s="92"/>
      <x:c r="AE15" s="92"/>
      <x:c r="AF15" s="92"/>
      <x:c r="AG15" s="92"/>
      <x:c r="AH15" s="92"/>
      <x:c r="AI15" s="92"/>
      <x:c r="AJ15" s="92"/>
      <x:c r="AK15" s="94" t="str">
        <x:f>IF(B15="","",SUM(AG15:AJ15))</x:f>
      </x:c>
      <x:c r="AL15" s="84" t="n">
        <x:f>IFERROR(AK15/AD15,0)</x:f>
        <x:v>0</x:v>
      </x:c>
      <x:c r="AM15" s="92"/>
      <x:c r="AN15" s="92"/>
      <x:c r="AO15" s="92"/>
      <x:c r="AP15" s="92"/>
      <x:c r="AQ15" s="25"/>
      <x:c r="AR15" s="25"/>
      <x:c r="AS15" s="86"/>
      <x:c r="AT15" s="86"/>
      <x:c r="AU15" s="86"/>
      <x:c r="AV15" s="90"/>
      <x:c r="AW15" s="86"/>
      <x:c r="AX15" s="88" t="str">
        <x:f>IF(B15="","",AV15*'Paramètres'!$B$4+AW15)</x:f>
      </x:c>
      <x:c r="AY15" s="25"/>
      <x:c r="AZ15" s="25"/>
      <x:c r="BA15" s="25"/>
    </x:row>
    <x:row r="16">
      <x:c r="A16" s="78" t="str">
        <x:f>IF(B16="","",ROW()-5)</x:f>
      </x:c>
      <x:c r="B16" s="80"/>
      <x:c r="C16" s="78" t="str">
        <x:f>IF(B16="","",YEAR(B16))</x:f>
      </x:c>
      <x:c r="D16" s="78" t="str">
        <x:f>IF(B16="","",CHOOSE(MONTH(B16),"Janvier","Février","Mars","Avril","Mai","Juin","Juillet","Août","Septembre","Octobre","Novembre","Décembre"))</x:f>
      </x:c>
      <x:c r="E16" s="78" t="str">
        <x:f>IF(B16="","",WEEKNUM(B16,2))</x:f>
      </x:c>
      <x:c r="F16" s="78" t="str">
        <x:f>IF(B16="","",CHOOSE(WEEKDAY(B16,2),"Lundi","Mardi","Mercredi","Jeudi","Vendredi","Samedi","Dimanche"))</x:f>
      </x:c>
      <x:c r="G16" s="82"/>
      <x:c r="H16" s="78" t="str">
        <x:f>IF(G16="","",IF(G16&lt;TIME(11,0,0),"Matin",IF(G16&lt;TIME(15,0,0),"Midi",IF(G16&lt;TIME(18,0,0),"Après-midi","Soir"))))</x:f>
      </x:c>
      <x:c r="I16" s="25"/>
      <x:c r="J16" s="25"/>
      <x:c r="K16" s="25"/>
      <x:c r="L16" s="25"/>
      <x:c r="M16" s="25"/>
      <x:c r="N16" s="25"/>
      <x:c r="O16" s="80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  <x:c r="AA16" s="25"/>
      <x:c r="AB16" s="25"/>
      <x:c r="AC16" s="92"/>
      <x:c r="AD16" s="92"/>
      <x:c r="AE16" s="92"/>
      <x:c r="AF16" s="92"/>
      <x:c r="AG16" s="92"/>
      <x:c r="AH16" s="92"/>
      <x:c r="AI16" s="92"/>
      <x:c r="AJ16" s="92"/>
      <x:c r="AK16" s="94" t="str">
        <x:f>IF(B16="","",SUM(AG16:AJ16))</x:f>
      </x:c>
      <x:c r="AL16" s="84" t="n">
        <x:f>IFERROR(AK16/AD16,0)</x:f>
        <x:v>0</x:v>
      </x:c>
      <x:c r="AM16" s="92"/>
      <x:c r="AN16" s="92"/>
      <x:c r="AO16" s="92"/>
      <x:c r="AP16" s="92"/>
      <x:c r="AQ16" s="25"/>
      <x:c r="AR16" s="25"/>
      <x:c r="AS16" s="86"/>
      <x:c r="AT16" s="86"/>
      <x:c r="AU16" s="86"/>
      <x:c r="AV16" s="90"/>
      <x:c r="AW16" s="86"/>
      <x:c r="AX16" s="88" t="str">
        <x:f>IF(B16="","",AV16*'Paramètres'!$B$4+AW16)</x:f>
      </x:c>
      <x:c r="AY16" s="25"/>
      <x:c r="AZ16" s="25"/>
      <x:c r="BA16" s="25"/>
    </x:row>
    <x:row r="17">
      <x:c r="A17" s="78" t="str">
        <x:f>IF(B17="","",ROW()-5)</x:f>
      </x:c>
      <x:c r="B17" s="80"/>
      <x:c r="C17" s="78" t="str">
        <x:f>IF(B17="","",YEAR(B17))</x:f>
      </x:c>
      <x:c r="D17" s="78" t="str">
        <x:f>IF(B17="","",CHOOSE(MONTH(B17),"Janvier","Février","Mars","Avril","Mai","Juin","Juillet","Août","Septembre","Octobre","Novembre","Décembre"))</x:f>
      </x:c>
      <x:c r="E17" s="78" t="str">
        <x:f>IF(B17="","",WEEKNUM(B17,2))</x:f>
      </x:c>
      <x:c r="F17" s="78" t="str">
        <x:f>IF(B17="","",CHOOSE(WEEKDAY(B17,2),"Lundi","Mardi","Mercredi","Jeudi","Vendredi","Samedi","Dimanche"))</x:f>
      </x:c>
      <x:c r="G17" s="82"/>
      <x:c r="H17" s="78" t="str">
        <x:f>IF(G17="","",IF(G17&lt;TIME(11,0,0),"Matin",IF(G17&lt;TIME(15,0,0),"Midi",IF(G17&lt;TIME(18,0,0),"Après-midi","Soir"))))</x:f>
      </x:c>
      <x:c r="I17" s="25"/>
      <x:c r="J17" s="25"/>
      <x:c r="K17" s="25"/>
      <x:c r="L17" s="25"/>
      <x:c r="M17" s="25"/>
      <x:c r="N17" s="25"/>
      <x:c r="O17" s="80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  <x:c r="AA17" s="25"/>
      <x:c r="AB17" s="25"/>
      <x:c r="AC17" s="92"/>
      <x:c r="AD17" s="92"/>
      <x:c r="AE17" s="92"/>
      <x:c r="AF17" s="92"/>
      <x:c r="AG17" s="92"/>
      <x:c r="AH17" s="92"/>
      <x:c r="AI17" s="92"/>
      <x:c r="AJ17" s="92"/>
      <x:c r="AK17" s="94" t="str">
        <x:f>IF(B17="","",SUM(AG17:AJ17))</x:f>
      </x:c>
      <x:c r="AL17" s="84" t="n">
        <x:f>IFERROR(AK17/AD17,0)</x:f>
        <x:v>0</x:v>
      </x:c>
      <x:c r="AM17" s="92"/>
      <x:c r="AN17" s="92"/>
      <x:c r="AO17" s="92"/>
      <x:c r="AP17" s="92"/>
      <x:c r="AQ17" s="25"/>
      <x:c r="AR17" s="25"/>
      <x:c r="AS17" s="86"/>
      <x:c r="AT17" s="86"/>
      <x:c r="AU17" s="86"/>
      <x:c r="AV17" s="90"/>
      <x:c r="AW17" s="86"/>
      <x:c r="AX17" s="88" t="str">
        <x:f>IF(B17="","",AV17*'Paramètres'!$B$4+AW17)</x:f>
      </x:c>
      <x:c r="AY17" s="25"/>
      <x:c r="AZ17" s="25"/>
      <x:c r="BA17" s="25"/>
    </x:row>
    <x:row r="18">
      <x:c r="A18" s="78" t="str">
        <x:f>IF(B18="","",ROW()-5)</x:f>
      </x:c>
      <x:c r="B18" s="80"/>
      <x:c r="C18" s="78" t="str">
        <x:f>IF(B18="","",YEAR(B18))</x:f>
      </x:c>
      <x:c r="D18" s="78" t="str">
        <x:f>IF(B18="","",CHOOSE(MONTH(B18),"Janvier","Février","Mars","Avril","Mai","Juin","Juillet","Août","Septembre","Octobre","Novembre","Décembre"))</x:f>
      </x:c>
      <x:c r="E18" s="78" t="str">
        <x:f>IF(B18="","",WEEKNUM(B18,2))</x:f>
      </x:c>
      <x:c r="F18" s="78" t="str">
        <x:f>IF(B18="","",CHOOSE(WEEKDAY(B18,2),"Lundi","Mardi","Mercredi","Jeudi","Vendredi","Samedi","Dimanche"))</x:f>
      </x:c>
      <x:c r="G18" s="82"/>
      <x:c r="H18" s="78" t="str">
        <x:f>IF(G18="","",IF(G18&lt;TIME(11,0,0),"Matin",IF(G18&lt;TIME(15,0,0),"Midi",IF(G18&lt;TIME(18,0,0),"Après-midi","Soir"))))</x:f>
      </x:c>
      <x:c r="I18" s="25"/>
      <x:c r="J18" s="25"/>
      <x:c r="K18" s="25"/>
      <x:c r="L18" s="25"/>
      <x:c r="M18" s="25"/>
      <x:c r="N18" s="25"/>
      <x:c r="O18" s="80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  <x:c r="AA18" s="25"/>
      <x:c r="AB18" s="25"/>
      <x:c r="AC18" s="92"/>
      <x:c r="AD18" s="92"/>
      <x:c r="AE18" s="92"/>
      <x:c r="AF18" s="92"/>
      <x:c r="AG18" s="92"/>
      <x:c r="AH18" s="92"/>
      <x:c r="AI18" s="92"/>
      <x:c r="AJ18" s="92"/>
      <x:c r="AK18" s="94" t="str">
        <x:f>IF(B18="","",SUM(AG18:AJ18))</x:f>
      </x:c>
      <x:c r="AL18" s="84" t="n">
        <x:f>IFERROR(AK18/AD18,0)</x:f>
        <x:v>0</x:v>
      </x:c>
      <x:c r="AM18" s="92"/>
      <x:c r="AN18" s="92"/>
      <x:c r="AO18" s="92"/>
      <x:c r="AP18" s="92"/>
      <x:c r="AQ18" s="25"/>
      <x:c r="AR18" s="25"/>
      <x:c r="AS18" s="86"/>
      <x:c r="AT18" s="86"/>
      <x:c r="AU18" s="86"/>
      <x:c r="AV18" s="90"/>
      <x:c r="AW18" s="86"/>
      <x:c r="AX18" s="88" t="str">
        <x:f>IF(B18="","",AV18*'Paramètres'!$B$4+AW18)</x:f>
      </x:c>
      <x:c r="AY18" s="25"/>
      <x:c r="AZ18" s="25"/>
      <x:c r="BA18" s="25"/>
    </x:row>
    <x:row r="19">
      <x:c r="A19" s="78" t="str">
        <x:f>IF(B19="","",ROW()-5)</x:f>
      </x:c>
      <x:c r="B19" s="80"/>
      <x:c r="C19" s="78" t="str">
        <x:f>IF(B19="","",YEAR(B19))</x:f>
      </x:c>
      <x:c r="D19" s="78" t="str">
        <x:f>IF(B19="","",CHOOSE(MONTH(B19),"Janvier","Février","Mars","Avril","Mai","Juin","Juillet","Août","Septembre","Octobre","Novembre","Décembre"))</x:f>
      </x:c>
      <x:c r="E19" s="78" t="str">
        <x:f>IF(B19="","",WEEKNUM(B19,2))</x:f>
      </x:c>
      <x:c r="F19" s="78" t="str">
        <x:f>IF(B19="","",CHOOSE(WEEKDAY(B19,2),"Lundi","Mardi","Mercredi","Jeudi","Vendredi","Samedi","Dimanche"))</x:f>
      </x:c>
      <x:c r="G19" s="82"/>
      <x:c r="H19" s="78" t="str">
        <x:f>IF(G19="","",IF(G19&lt;TIME(11,0,0),"Matin",IF(G19&lt;TIME(15,0,0),"Midi",IF(G19&lt;TIME(18,0,0),"Après-midi","Soir"))))</x:f>
      </x:c>
      <x:c r="I19" s="25"/>
      <x:c r="J19" s="25"/>
      <x:c r="K19" s="25"/>
      <x:c r="L19" s="25"/>
      <x:c r="M19" s="25"/>
      <x:c r="N19" s="25"/>
      <x:c r="O19" s="80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  <x:c r="AA19" s="25"/>
      <x:c r="AB19" s="25"/>
      <x:c r="AC19" s="92"/>
      <x:c r="AD19" s="92"/>
      <x:c r="AE19" s="92"/>
      <x:c r="AF19" s="92"/>
      <x:c r="AG19" s="92"/>
      <x:c r="AH19" s="92"/>
      <x:c r="AI19" s="92"/>
      <x:c r="AJ19" s="92"/>
      <x:c r="AK19" s="94" t="str">
        <x:f>IF(B19="","",SUM(AG19:AJ19))</x:f>
      </x:c>
      <x:c r="AL19" s="84" t="n">
        <x:f>IFERROR(AK19/AD19,0)</x:f>
        <x:v>0</x:v>
      </x:c>
      <x:c r="AM19" s="92"/>
      <x:c r="AN19" s="92"/>
      <x:c r="AO19" s="92"/>
      <x:c r="AP19" s="92"/>
      <x:c r="AQ19" s="25"/>
      <x:c r="AR19" s="25"/>
      <x:c r="AS19" s="86"/>
      <x:c r="AT19" s="86"/>
      <x:c r="AU19" s="86"/>
      <x:c r="AV19" s="90"/>
      <x:c r="AW19" s="86"/>
      <x:c r="AX19" s="88" t="str">
        <x:f>IF(B19="","",AV19*'Paramètres'!$B$4+AW19)</x:f>
      </x:c>
      <x:c r="AY19" s="25"/>
      <x:c r="AZ19" s="25"/>
      <x:c r="BA19" s="25"/>
    </x:row>
    <x:row r="20">
      <x:c r="A20" s="78" t="str">
        <x:f>IF(B20="","",ROW()-5)</x:f>
      </x:c>
      <x:c r="B20" s="80"/>
      <x:c r="C20" s="78" t="str">
        <x:f>IF(B20="","",YEAR(B20))</x:f>
      </x:c>
      <x:c r="D20" s="78" t="str">
        <x:f>IF(B20="","",CHOOSE(MONTH(B20),"Janvier","Février","Mars","Avril","Mai","Juin","Juillet","Août","Septembre","Octobre","Novembre","Décembre"))</x:f>
      </x:c>
      <x:c r="E20" s="78" t="str">
        <x:f>IF(B20="","",WEEKNUM(B20,2))</x:f>
      </x:c>
      <x:c r="F20" s="78" t="str">
        <x:f>IF(B20="","",CHOOSE(WEEKDAY(B20,2),"Lundi","Mardi","Mercredi","Jeudi","Vendredi","Samedi","Dimanche"))</x:f>
      </x:c>
      <x:c r="G20" s="82"/>
      <x:c r="H20" s="78" t="str">
        <x:f>IF(G20="","",IF(G20&lt;TIME(11,0,0),"Matin",IF(G20&lt;TIME(15,0,0),"Midi",IF(G20&lt;TIME(18,0,0),"Après-midi","Soir"))))</x:f>
      </x:c>
      <x:c r="I20" s="25"/>
      <x:c r="J20" s="25"/>
      <x:c r="K20" s="25"/>
      <x:c r="L20" s="25"/>
      <x:c r="M20" s="25"/>
      <x:c r="N20" s="25"/>
      <x:c r="O20" s="80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  <x:c r="AA20" s="25"/>
      <x:c r="AB20" s="25"/>
      <x:c r="AC20" s="92"/>
      <x:c r="AD20" s="92"/>
      <x:c r="AE20" s="92"/>
      <x:c r="AF20" s="92"/>
      <x:c r="AG20" s="92"/>
      <x:c r="AH20" s="92"/>
      <x:c r="AI20" s="92"/>
      <x:c r="AJ20" s="92"/>
      <x:c r="AK20" s="94" t="str">
        <x:f>IF(B20="","",SUM(AG20:AJ20))</x:f>
      </x:c>
      <x:c r="AL20" s="84" t="n">
        <x:f>IFERROR(AK20/AD20,0)</x:f>
        <x:v>0</x:v>
      </x:c>
      <x:c r="AM20" s="92"/>
      <x:c r="AN20" s="92"/>
      <x:c r="AO20" s="92"/>
      <x:c r="AP20" s="92"/>
      <x:c r="AQ20" s="25"/>
      <x:c r="AR20" s="25"/>
      <x:c r="AS20" s="86"/>
      <x:c r="AT20" s="86"/>
      <x:c r="AU20" s="86"/>
      <x:c r="AV20" s="90"/>
      <x:c r="AW20" s="86"/>
      <x:c r="AX20" s="88" t="str">
        <x:f>IF(B20="","",AV20*'Paramètres'!$B$4+AW20)</x:f>
      </x:c>
      <x:c r="AY20" s="25"/>
      <x:c r="AZ20" s="25"/>
      <x:c r="BA20" s="25"/>
    </x:row>
    <x:row r="21">
      <x:c r="A21" s="78" t="str">
        <x:f>IF(B21="","",ROW()-5)</x:f>
      </x:c>
      <x:c r="B21" s="80"/>
      <x:c r="C21" s="78" t="str">
        <x:f>IF(B21="","",YEAR(B21))</x:f>
      </x:c>
      <x:c r="D21" s="78" t="str">
        <x:f>IF(B21="","",CHOOSE(MONTH(B21),"Janvier","Février","Mars","Avril","Mai","Juin","Juillet","Août","Septembre","Octobre","Novembre","Décembre"))</x:f>
      </x:c>
      <x:c r="E21" s="78" t="str">
        <x:f>IF(B21="","",WEEKNUM(B21,2))</x:f>
      </x:c>
      <x:c r="F21" s="78" t="str">
        <x:f>IF(B21="","",CHOOSE(WEEKDAY(B21,2),"Lundi","Mardi","Mercredi","Jeudi","Vendredi","Samedi","Dimanche"))</x:f>
      </x:c>
      <x:c r="G21" s="82"/>
      <x:c r="H21" s="78" t="str">
        <x:f>IF(G21="","",IF(G21&lt;TIME(11,0,0),"Matin",IF(G21&lt;TIME(15,0,0),"Midi",IF(G21&lt;TIME(18,0,0),"Après-midi","Soir"))))</x:f>
      </x:c>
      <x:c r="I21" s="25"/>
      <x:c r="J21" s="25"/>
      <x:c r="K21" s="25"/>
      <x:c r="L21" s="25"/>
      <x:c r="M21" s="25"/>
      <x:c r="N21" s="25"/>
      <x:c r="O21" s="80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  <x:c r="AA21" s="25"/>
      <x:c r="AB21" s="25"/>
      <x:c r="AC21" s="92"/>
      <x:c r="AD21" s="92"/>
      <x:c r="AE21" s="92"/>
      <x:c r="AF21" s="92"/>
      <x:c r="AG21" s="92"/>
      <x:c r="AH21" s="92"/>
      <x:c r="AI21" s="92"/>
      <x:c r="AJ21" s="92"/>
      <x:c r="AK21" s="94" t="str">
        <x:f>IF(B21="","",SUM(AG21:AJ21))</x:f>
      </x:c>
      <x:c r="AL21" s="84" t="n">
        <x:f>IFERROR(AK21/AD21,0)</x:f>
        <x:v>0</x:v>
      </x:c>
      <x:c r="AM21" s="92"/>
      <x:c r="AN21" s="92"/>
      <x:c r="AO21" s="92"/>
      <x:c r="AP21" s="92"/>
      <x:c r="AQ21" s="25"/>
      <x:c r="AR21" s="25"/>
      <x:c r="AS21" s="86"/>
      <x:c r="AT21" s="86"/>
      <x:c r="AU21" s="86"/>
      <x:c r="AV21" s="90"/>
      <x:c r="AW21" s="86"/>
      <x:c r="AX21" s="88" t="str">
        <x:f>IF(B21="","",AV21*'Paramètres'!$B$4+AW21)</x:f>
      </x:c>
      <x:c r="AY21" s="25"/>
      <x:c r="AZ21" s="25"/>
      <x:c r="BA21" s="25"/>
    </x:row>
    <x:row r="22">
      <x:c r="A22" s="78" t="str">
        <x:f>IF(B22="","",ROW()-5)</x:f>
      </x:c>
      <x:c r="B22" s="80"/>
      <x:c r="C22" s="78" t="str">
        <x:f>IF(B22="","",YEAR(B22))</x:f>
      </x:c>
      <x:c r="D22" s="78" t="str">
        <x:f>IF(B22="","",CHOOSE(MONTH(B22),"Janvier","Février","Mars","Avril","Mai","Juin","Juillet","Août","Septembre","Octobre","Novembre","Décembre"))</x:f>
      </x:c>
      <x:c r="E22" s="78" t="str">
        <x:f>IF(B22="","",WEEKNUM(B22,2))</x:f>
      </x:c>
      <x:c r="F22" s="78" t="str">
        <x:f>IF(B22="","",CHOOSE(WEEKDAY(B22,2),"Lundi","Mardi","Mercredi","Jeudi","Vendredi","Samedi","Dimanche"))</x:f>
      </x:c>
      <x:c r="G22" s="82"/>
      <x:c r="H22" s="78" t="str">
        <x:f>IF(G22="","",IF(G22&lt;TIME(11,0,0),"Matin",IF(G22&lt;TIME(15,0,0),"Midi",IF(G22&lt;TIME(18,0,0),"Après-midi","Soir"))))</x:f>
      </x:c>
      <x:c r="I22" s="25"/>
      <x:c r="J22" s="25"/>
      <x:c r="K22" s="25"/>
      <x:c r="L22" s="25"/>
      <x:c r="M22" s="25"/>
      <x:c r="N22" s="25"/>
      <x:c r="O22" s="80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  <x:c r="AA22" s="25"/>
      <x:c r="AB22" s="25"/>
      <x:c r="AC22" s="92"/>
      <x:c r="AD22" s="92"/>
      <x:c r="AE22" s="92"/>
      <x:c r="AF22" s="92"/>
      <x:c r="AG22" s="92"/>
      <x:c r="AH22" s="92"/>
      <x:c r="AI22" s="92"/>
      <x:c r="AJ22" s="92"/>
      <x:c r="AK22" s="94" t="str">
        <x:f>IF(B22="","",SUM(AG22:AJ22))</x:f>
      </x:c>
      <x:c r="AL22" s="84" t="n">
        <x:f>IFERROR(AK22/AD22,0)</x:f>
        <x:v>0</x:v>
      </x:c>
      <x:c r="AM22" s="92"/>
      <x:c r="AN22" s="92"/>
      <x:c r="AO22" s="92"/>
      <x:c r="AP22" s="92"/>
      <x:c r="AQ22" s="25"/>
      <x:c r="AR22" s="25"/>
      <x:c r="AS22" s="86"/>
      <x:c r="AT22" s="86"/>
      <x:c r="AU22" s="86"/>
      <x:c r="AV22" s="90"/>
      <x:c r="AW22" s="86"/>
      <x:c r="AX22" s="88" t="str">
        <x:f>IF(B22="","",AV22*'Paramètres'!$B$4+AW22)</x:f>
      </x:c>
      <x:c r="AY22" s="25"/>
      <x:c r="AZ22" s="25"/>
      <x:c r="BA22" s="25"/>
    </x:row>
    <x:row r="23">
      <x:c r="A23" s="78" t="str">
        <x:f>IF(B23="","",ROW()-5)</x:f>
      </x:c>
      <x:c r="B23" s="80"/>
      <x:c r="C23" s="78" t="str">
        <x:f>IF(B23="","",YEAR(B23))</x:f>
      </x:c>
      <x:c r="D23" s="78" t="str">
        <x:f>IF(B23="","",CHOOSE(MONTH(B23),"Janvier","Février","Mars","Avril","Mai","Juin","Juillet","Août","Septembre","Octobre","Novembre","Décembre"))</x:f>
      </x:c>
      <x:c r="E23" s="78" t="str">
        <x:f>IF(B23="","",WEEKNUM(B23,2))</x:f>
      </x:c>
      <x:c r="F23" s="78" t="str">
        <x:f>IF(B23="","",CHOOSE(WEEKDAY(B23,2),"Lundi","Mardi","Mercredi","Jeudi","Vendredi","Samedi","Dimanche"))</x:f>
      </x:c>
      <x:c r="G23" s="82"/>
      <x:c r="H23" s="78" t="str">
        <x:f>IF(G23="","",IF(G23&lt;TIME(11,0,0),"Matin",IF(G23&lt;TIME(15,0,0),"Midi",IF(G23&lt;TIME(18,0,0),"Après-midi","Soir"))))</x:f>
      </x:c>
      <x:c r="I23" s="25"/>
      <x:c r="J23" s="25"/>
      <x:c r="K23" s="25"/>
      <x:c r="L23" s="25"/>
      <x:c r="M23" s="25"/>
      <x:c r="N23" s="25"/>
      <x:c r="O23" s="80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  <x:c r="AA23" s="25"/>
      <x:c r="AB23" s="25"/>
      <x:c r="AC23" s="92"/>
      <x:c r="AD23" s="92"/>
      <x:c r="AE23" s="92"/>
      <x:c r="AF23" s="92"/>
      <x:c r="AG23" s="92"/>
      <x:c r="AH23" s="92"/>
      <x:c r="AI23" s="92"/>
      <x:c r="AJ23" s="92"/>
      <x:c r="AK23" s="94" t="str">
        <x:f>IF(B23="","",SUM(AG23:AJ23))</x:f>
      </x:c>
      <x:c r="AL23" s="84" t="n">
        <x:f>IFERROR(AK23/AD23,0)</x:f>
        <x:v>0</x:v>
      </x:c>
      <x:c r="AM23" s="92"/>
      <x:c r="AN23" s="92"/>
      <x:c r="AO23" s="92"/>
      <x:c r="AP23" s="92"/>
      <x:c r="AQ23" s="25"/>
      <x:c r="AR23" s="25"/>
      <x:c r="AS23" s="86"/>
      <x:c r="AT23" s="86"/>
      <x:c r="AU23" s="86"/>
      <x:c r="AV23" s="90"/>
      <x:c r="AW23" s="86"/>
      <x:c r="AX23" s="88" t="str">
        <x:f>IF(B23="","",AV23*'Paramètres'!$B$4+AW23)</x:f>
      </x:c>
      <x:c r="AY23" s="25"/>
      <x:c r="AZ23" s="25"/>
      <x:c r="BA23" s="25"/>
    </x:row>
    <x:row r="24">
      <x:c r="A24" s="78" t="str">
        <x:f>IF(B24="","",ROW()-5)</x:f>
      </x:c>
      <x:c r="B24" s="80"/>
      <x:c r="C24" s="78" t="str">
        <x:f>IF(B24="","",YEAR(B24))</x:f>
      </x:c>
      <x:c r="D24" s="78" t="str">
        <x:f>IF(B24="","",CHOOSE(MONTH(B24),"Janvier","Février","Mars","Avril","Mai","Juin","Juillet","Août","Septembre","Octobre","Novembre","Décembre"))</x:f>
      </x:c>
      <x:c r="E24" s="78" t="str">
        <x:f>IF(B24="","",WEEKNUM(B24,2))</x:f>
      </x:c>
      <x:c r="F24" s="78" t="str">
        <x:f>IF(B24="","",CHOOSE(WEEKDAY(B24,2),"Lundi","Mardi","Mercredi","Jeudi","Vendredi","Samedi","Dimanche"))</x:f>
      </x:c>
      <x:c r="G24" s="82"/>
      <x:c r="H24" s="78" t="str">
        <x:f>IF(G24="","",IF(G24&lt;TIME(11,0,0),"Matin",IF(G24&lt;TIME(15,0,0),"Midi",IF(G24&lt;TIME(18,0,0),"Après-midi","Soir"))))</x:f>
      </x:c>
      <x:c r="I24" s="25"/>
      <x:c r="J24" s="25"/>
      <x:c r="K24" s="25"/>
      <x:c r="L24" s="25"/>
      <x:c r="M24" s="25"/>
      <x:c r="N24" s="25"/>
      <x:c r="O24" s="80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  <x:c r="AA24" s="25"/>
      <x:c r="AB24" s="25"/>
      <x:c r="AC24" s="92"/>
      <x:c r="AD24" s="92"/>
      <x:c r="AE24" s="92"/>
      <x:c r="AF24" s="92"/>
      <x:c r="AG24" s="92"/>
      <x:c r="AH24" s="92"/>
      <x:c r="AI24" s="92"/>
      <x:c r="AJ24" s="92"/>
      <x:c r="AK24" s="94" t="str">
        <x:f>IF(B24="","",SUM(AG24:AJ24))</x:f>
      </x:c>
      <x:c r="AL24" s="84" t="n">
        <x:f>IFERROR(AK24/AD24,0)</x:f>
        <x:v>0</x:v>
      </x:c>
      <x:c r="AM24" s="92"/>
      <x:c r="AN24" s="92"/>
      <x:c r="AO24" s="92"/>
      <x:c r="AP24" s="92"/>
      <x:c r="AQ24" s="25"/>
      <x:c r="AR24" s="25"/>
      <x:c r="AS24" s="86"/>
      <x:c r="AT24" s="86"/>
      <x:c r="AU24" s="86"/>
      <x:c r="AV24" s="90"/>
      <x:c r="AW24" s="86"/>
      <x:c r="AX24" s="88" t="str">
        <x:f>IF(B24="","",AV24*'Paramètres'!$B$4+AW24)</x:f>
      </x:c>
      <x:c r="AY24" s="25"/>
      <x:c r="AZ24" s="25"/>
      <x:c r="BA24" s="25"/>
    </x:row>
    <x:row r="25">
      <x:c r="A25" s="78" t="str">
        <x:f>IF(B25="","",ROW()-5)</x:f>
      </x:c>
      <x:c r="B25" s="80"/>
      <x:c r="C25" s="78" t="str">
        <x:f>IF(B25="","",YEAR(B25))</x:f>
      </x:c>
      <x:c r="D25" s="78" t="str">
        <x:f>IF(B25="","",CHOOSE(MONTH(B25),"Janvier","Février","Mars","Avril","Mai","Juin","Juillet","Août","Septembre","Octobre","Novembre","Décembre"))</x:f>
      </x:c>
      <x:c r="E25" s="78" t="str">
        <x:f>IF(B25="","",WEEKNUM(B25,2))</x:f>
      </x:c>
      <x:c r="F25" s="78" t="str">
        <x:f>IF(B25="","",CHOOSE(WEEKDAY(B25,2),"Lundi","Mardi","Mercredi","Jeudi","Vendredi","Samedi","Dimanche"))</x:f>
      </x:c>
      <x:c r="G25" s="82"/>
      <x:c r="H25" s="78" t="str">
        <x:f>IF(G25="","",IF(G25&lt;TIME(11,0,0),"Matin",IF(G25&lt;TIME(15,0,0),"Midi",IF(G25&lt;TIME(18,0,0),"Après-midi","Soir"))))</x:f>
      </x:c>
      <x:c r="I25" s="25"/>
      <x:c r="J25" s="25"/>
      <x:c r="K25" s="25"/>
      <x:c r="L25" s="25"/>
      <x:c r="M25" s="25"/>
      <x:c r="N25" s="25"/>
      <x:c r="O25" s="80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  <x:c r="AA25" s="25"/>
      <x:c r="AB25" s="25"/>
      <x:c r="AC25" s="92"/>
      <x:c r="AD25" s="92"/>
      <x:c r="AE25" s="92"/>
      <x:c r="AF25" s="92"/>
      <x:c r="AG25" s="92"/>
      <x:c r="AH25" s="92"/>
      <x:c r="AI25" s="92"/>
      <x:c r="AJ25" s="92"/>
      <x:c r="AK25" s="94" t="str">
        <x:f>IF(B25="","",SUM(AG25:AJ25))</x:f>
      </x:c>
      <x:c r="AL25" s="84" t="n">
        <x:f>IFERROR(AK25/AD25,0)</x:f>
        <x:v>0</x:v>
      </x:c>
      <x:c r="AM25" s="92"/>
      <x:c r="AN25" s="92"/>
      <x:c r="AO25" s="92"/>
      <x:c r="AP25" s="92"/>
      <x:c r="AQ25" s="25"/>
      <x:c r="AR25" s="25"/>
      <x:c r="AS25" s="86"/>
      <x:c r="AT25" s="86"/>
      <x:c r="AU25" s="86"/>
      <x:c r="AV25" s="90"/>
      <x:c r="AW25" s="86"/>
      <x:c r="AX25" s="88" t="str">
        <x:f>IF(B25="","",AV25*'Paramètres'!$B$4+AW25)</x:f>
      </x:c>
      <x:c r="AY25" s="25"/>
      <x:c r="AZ25" s="25"/>
      <x:c r="BA25" s="25"/>
    </x:row>
    <x:row r="26">
      <x:c r="A26" s="78" t="str">
        <x:f>IF(B26="","",ROW()-5)</x:f>
      </x:c>
      <x:c r="B26" s="80"/>
      <x:c r="C26" s="78" t="str">
        <x:f>IF(B26="","",YEAR(B26))</x:f>
      </x:c>
      <x:c r="D26" s="78" t="str">
        <x:f>IF(B26="","",CHOOSE(MONTH(B26),"Janvier","Février","Mars","Avril","Mai","Juin","Juillet","Août","Septembre","Octobre","Novembre","Décembre"))</x:f>
      </x:c>
      <x:c r="E26" s="78" t="str">
        <x:f>IF(B26="","",WEEKNUM(B26,2))</x:f>
      </x:c>
      <x:c r="F26" s="78" t="str">
        <x:f>IF(B26="","",CHOOSE(WEEKDAY(B26,2),"Lundi","Mardi","Mercredi","Jeudi","Vendredi","Samedi","Dimanche"))</x:f>
      </x:c>
      <x:c r="G26" s="82"/>
      <x:c r="H26" s="78" t="str">
        <x:f>IF(G26="","",IF(G26&lt;TIME(11,0,0),"Matin",IF(G26&lt;TIME(15,0,0),"Midi",IF(G26&lt;TIME(18,0,0),"Après-midi","Soir"))))</x:f>
      </x:c>
      <x:c r="I26" s="25"/>
      <x:c r="J26" s="25"/>
      <x:c r="K26" s="25"/>
      <x:c r="L26" s="25"/>
      <x:c r="M26" s="25"/>
      <x:c r="N26" s="25"/>
      <x:c r="O26" s="80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  <x:c r="AA26" s="25"/>
      <x:c r="AB26" s="25"/>
      <x:c r="AC26" s="92"/>
      <x:c r="AD26" s="92"/>
      <x:c r="AE26" s="92"/>
      <x:c r="AF26" s="92"/>
      <x:c r="AG26" s="92"/>
      <x:c r="AH26" s="92"/>
      <x:c r="AI26" s="92"/>
      <x:c r="AJ26" s="92"/>
      <x:c r="AK26" s="94" t="str">
        <x:f>IF(B26="","",SUM(AG26:AJ26))</x:f>
      </x:c>
      <x:c r="AL26" s="84" t="n">
        <x:f>IFERROR(AK26/AD26,0)</x:f>
        <x:v>0</x:v>
      </x:c>
      <x:c r="AM26" s="92"/>
      <x:c r="AN26" s="92"/>
      <x:c r="AO26" s="92"/>
      <x:c r="AP26" s="92"/>
      <x:c r="AQ26" s="25"/>
      <x:c r="AR26" s="25"/>
      <x:c r="AS26" s="86"/>
      <x:c r="AT26" s="86"/>
      <x:c r="AU26" s="86"/>
      <x:c r="AV26" s="90"/>
      <x:c r="AW26" s="86"/>
      <x:c r="AX26" s="88" t="str">
        <x:f>IF(B26="","",AV26*'Paramètres'!$B$4+AW26)</x:f>
      </x:c>
      <x:c r="AY26" s="25"/>
      <x:c r="AZ26" s="25"/>
      <x:c r="BA26" s="25"/>
    </x:row>
    <x:row r="27">
      <x:c r="A27" s="78" t="str">
        <x:f>IF(B27="","",ROW()-5)</x:f>
      </x:c>
      <x:c r="B27" s="80"/>
      <x:c r="C27" s="78" t="str">
        <x:f>IF(B27="","",YEAR(B27))</x:f>
      </x:c>
      <x:c r="D27" s="78" t="str">
        <x:f>IF(B27="","",CHOOSE(MONTH(B27),"Janvier","Février","Mars","Avril","Mai","Juin","Juillet","Août","Septembre","Octobre","Novembre","Décembre"))</x:f>
      </x:c>
      <x:c r="E27" s="78" t="str">
        <x:f>IF(B27="","",WEEKNUM(B27,2))</x:f>
      </x:c>
      <x:c r="F27" s="78" t="str">
        <x:f>IF(B27="","",CHOOSE(WEEKDAY(B27,2),"Lundi","Mardi","Mercredi","Jeudi","Vendredi","Samedi","Dimanche"))</x:f>
      </x:c>
      <x:c r="G27" s="82"/>
      <x:c r="H27" s="78" t="str">
        <x:f>IF(G27="","",IF(G27&lt;TIME(11,0,0),"Matin",IF(G27&lt;TIME(15,0,0),"Midi",IF(G27&lt;TIME(18,0,0),"Après-midi","Soir"))))</x:f>
      </x:c>
      <x:c r="I27" s="25"/>
      <x:c r="J27" s="25"/>
      <x:c r="K27" s="25"/>
      <x:c r="L27" s="25"/>
      <x:c r="M27" s="25"/>
      <x:c r="N27" s="25"/>
      <x:c r="O27" s="80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  <x:c r="AA27" s="25"/>
      <x:c r="AB27" s="25"/>
      <x:c r="AC27" s="92"/>
      <x:c r="AD27" s="92"/>
      <x:c r="AE27" s="92"/>
      <x:c r="AF27" s="92"/>
      <x:c r="AG27" s="92"/>
      <x:c r="AH27" s="92"/>
      <x:c r="AI27" s="92"/>
      <x:c r="AJ27" s="92"/>
      <x:c r="AK27" s="94" t="str">
        <x:f>IF(B27="","",SUM(AG27:AJ27))</x:f>
      </x:c>
      <x:c r="AL27" s="84" t="n">
        <x:f>IFERROR(AK27/AD27,0)</x:f>
        <x:v>0</x:v>
      </x:c>
      <x:c r="AM27" s="92"/>
      <x:c r="AN27" s="92"/>
      <x:c r="AO27" s="92"/>
      <x:c r="AP27" s="92"/>
      <x:c r="AQ27" s="25"/>
      <x:c r="AR27" s="25"/>
      <x:c r="AS27" s="86"/>
      <x:c r="AT27" s="86"/>
      <x:c r="AU27" s="86"/>
      <x:c r="AV27" s="90"/>
      <x:c r="AW27" s="86"/>
      <x:c r="AX27" s="88" t="str">
        <x:f>IF(B27="","",AV27*'Paramètres'!$B$4+AW27)</x:f>
      </x:c>
      <x:c r="AY27" s="25"/>
      <x:c r="AZ27" s="25"/>
      <x:c r="BA27" s="25"/>
    </x:row>
    <x:row r="28">
      <x:c r="A28" s="78" t="str">
        <x:f>IF(B28="","",ROW()-5)</x:f>
      </x:c>
      <x:c r="B28" s="80"/>
      <x:c r="C28" s="78" t="str">
        <x:f>IF(B28="","",YEAR(B28))</x:f>
      </x:c>
      <x:c r="D28" s="78" t="str">
        <x:f>IF(B28="","",CHOOSE(MONTH(B28),"Janvier","Février","Mars","Avril","Mai","Juin","Juillet","Août","Septembre","Octobre","Novembre","Décembre"))</x:f>
      </x:c>
      <x:c r="E28" s="78" t="str">
        <x:f>IF(B28="","",WEEKNUM(B28,2))</x:f>
      </x:c>
      <x:c r="F28" s="78" t="str">
        <x:f>IF(B28="","",CHOOSE(WEEKDAY(B28,2),"Lundi","Mardi","Mercredi","Jeudi","Vendredi","Samedi","Dimanche"))</x:f>
      </x:c>
      <x:c r="G28" s="82"/>
      <x:c r="H28" s="78" t="str">
        <x:f>IF(G28="","",IF(G28&lt;TIME(11,0,0),"Matin",IF(G28&lt;TIME(15,0,0),"Midi",IF(G28&lt;TIME(18,0,0),"Après-midi","Soir"))))</x:f>
      </x:c>
      <x:c r="I28" s="25"/>
      <x:c r="J28" s="25"/>
      <x:c r="K28" s="25"/>
      <x:c r="L28" s="25"/>
      <x:c r="M28" s="25"/>
      <x:c r="N28" s="25"/>
      <x:c r="O28" s="80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  <x:c r="AA28" s="25"/>
      <x:c r="AB28" s="25"/>
      <x:c r="AC28" s="92"/>
      <x:c r="AD28" s="92"/>
      <x:c r="AE28" s="92"/>
      <x:c r="AF28" s="92"/>
      <x:c r="AG28" s="92"/>
      <x:c r="AH28" s="92"/>
      <x:c r="AI28" s="92"/>
      <x:c r="AJ28" s="92"/>
      <x:c r="AK28" s="94" t="str">
        <x:f>IF(B28="","",SUM(AG28:AJ28))</x:f>
      </x:c>
      <x:c r="AL28" s="84" t="n">
        <x:f>IFERROR(AK28/AD28,0)</x:f>
        <x:v>0</x:v>
      </x:c>
      <x:c r="AM28" s="92"/>
      <x:c r="AN28" s="92"/>
      <x:c r="AO28" s="92"/>
      <x:c r="AP28" s="92"/>
      <x:c r="AQ28" s="25"/>
      <x:c r="AR28" s="25"/>
      <x:c r="AS28" s="86"/>
      <x:c r="AT28" s="86"/>
      <x:c r="AU28" s="86"/>
      <x:c r="AV28" s="90"/>
      <x:c r="AW28" s="86"/>
      <x:c r="AX28" s="88" t="str">
        <x:f>IF(B28="","",AV28*'Paramètres'!$B$4+AW28)</x:f>
      </x:c>
      <x:c r="AY28" s="25"/>
      <x:c r="AZ28" s="25"/>
      <x:c r="BA28" s="25"/>
    </x:row>
    <x:row r="29">
      <x:c r="A29" s="78" t="str">
        <x:f>IF(B29="","",ROW()-5)</x:f>
      </x:c>
      <x:c r="B29" s="80"/>
      <x:c r="C29" s="78" t="str">
        <x:f>IF(B29="","",YEAR(B29))</x:f>
      </x:c>
      <x:c r="D29" s="78" t="str">
        <x:f>IF(B29="","",CHOOSE(MONTH(B29),"Janvier","Février","Mars","Avril","Mai","Juin","Juillet","Août","Septembre","Octobre","Novembre","Décembre"))</x:f>
      </x:c>
      <x:c r="E29" s="78" t="str">
        <x:f>IF(B29="","",WEEKNUM(B29,2))</x:f>
      </x:c>
      <x:c r="F29" s="78" t="str">
        <x:f>IF(B29="","",CHOOSE(WEEKDAY(B29,2),"Lundi","Mardi","Mercredi","Jeudi","Vendredi","Samedi","Dimanche"))</x:f>
      </x:c>
      <x:c r="G29" s="82"/>
      <x:c r="H29" s="78" t="str">
        <x:f>IF(G29="","",IF(G29&lt;TIME(11,0,0),"Matin",IF(G29&lt;TIME(15,0,0),"Midi",IF(G29&lt;TIME(18,0,0),"Après-midi","Soir"))))</x:f>
      </x:c>
      <x:c r="I29" s="25"/>
      <x:c r="J29" s="25"/>
      <x:c r="K29" s="25"/>
      <x:c r="L29" s="25"/>
      <x:c r="M29" s="25"/>
      <x:c r="N29" s="25"/>
      <x:c r="O29" s="80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  <x:c r="AA29" s="25"/>
      <x:c r="AB29" s="25"/>
      <x:c r="AC29" s="92"/>
      <x:c r="AD29" s="92"/>
      <x:c r="AE29" s="92"/>
      <x:c r="AF29" s="92"/>
      <x:c r="AG29" s="92"/>
      <x:c r="AH29" s="92"/>
      <x:c r="AI29" s="92"/>
      <x:c r="AJ29" s="92"/>
      <x:c r="AK29" s="94" t="str">
        <x:f>IF(B29="","",SUM(AG29:AJ29))</x:f>
      </x:c>
      <x:c r="AL29" s="84" t="n">
        <x:f>IFERROR(AK29/AD29,0)</x:f>
        <x:v>0</x:v>
      </x:c>
      <x:c r="AM29" s="92"/>
      <x:c r="AN29" s="92"/>
      <x:c r="AO29" s="92"/>
      <x:c r="AP29" s="92"/>
      <x:c r="AQ29" s="25"/>
      <x:c r="AR29" s="25"/>
      <x:c r="AS29" s="86"/>
      <x:c r="AT29" s="86"/>
      <x:c r="AU29" s="86"/>
      <x:c r="AV29" s="90"/>
      <x:c r="AW29" s="86"/>
      <x:c r="AX29" s="88" t="str">
        <x:f>IF(B29="","",AV29*'Paramètres'!$B$4+AW29)</x:f>
      </x:c>
      <x:c r="AY29" s="25"/>
      <x:c r="AZ29" s="25"/>
      <x:c r="BA29" s="25"/>
    </x:row>
    <x:row r="30">
      <x:c r="A30" s="78" t="str">
        <x:f>IF(B30="","",ROW()-5)</x:f>
      </x:c>
      <x:c r="B30" s="80"/>
      <x:c r="C30" s="78" t="str">
        <x:f>IF(B30="","",YEAR(B30))</x:f>
      </x:c>
      <x:c r="D30" s="78" t="str">
        <x:f>IF(B30="","",CHOOSE(MONTH(B30),"Janvier","Février","Mars","Avril","Mai","Juin","Juillet","Août","Septembre","Octobre","Novembre","Décembre"))</x:f>
      </x:c>
      <x:c r="E30" s="78" t="str">
        <x:f>IF(B30="","",WEEKNUM(B30,2))</x:f>
      </x:c>
      <x:c r="F30" s="78" t="str">
        <x:f>IF(B30="","",CHOOSE(WEEKDAY(B30,2),"Lundi","Mardi","Mercredi","Jeudi","Vendredi","Samedi","Dimanche"))</x:f>
      </x:c>
      <x:c r="G30" s="82"/>
      <x:c r="H30" s="78" t="str">
        <x:f>IF(G30="","",IF(G30&lt;TIME(11,0,0),"Matin",IF(G30&lt;TIME(15,0,0),"Midi",IF(G30&lt;TIME(18,0,0),"Après-midi","Soir"))))</x:f>
      </x:c>
      <x:c r="I30" s="25"/>
      <x:c r="J30" s="25"/>
      <x:c r="K30" s="25"/>
      <x:c r="L30" s="25"/>
      <x:c r="M30" s="25"/>
      <x:c r="N30" s="25"/>
      <x:c r="O30" s="80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  <x:c r="AA30" s="25"/>
      <x:c r="AB30" s="25"/>
      <x:c r="AC30" s="92"/>
      <x:c r="AD30" s="92"/>
      <x:c r="AE30" s="92"/>
      <x:c r="AF30" s="92"/>
      <x:c r="AG30" s="92"/>
      <x:c r="AH30" s="92"/>
      <x:c r="AI30" s="92"/>
      <x:c r="AJ30" s="92"/>
      <x:c r="AK30" s="94" t="str">
        <x:f>IF(B30="","",SUM(AG30:AJ30))</x:f>
      </x:c>
      <x:c r="AL30" s="84" t="n">
        <x:f>IFERROR(AK30/AD30,0)</x:f>
        <x:v>0</x:v>
      </x:c>
      <x:c r="AM30" s="92"/>
      <x:c r="AN30" s="92"/>
      <x:c r="AO30" s="92"/>
      <x:c r="AP30" s="92"/>
      <x:c r="AQ30" s="25"/>
      <x:c r="AR30" s="25"/>
      <x:c r="AS30" s="86"/>
      <x:c r="AT30" s="86"/>
      <x:c r="AU30" s="86"/>
      <x:c r="AV30" s="90"/>
      <x:c r="AW30" s="86"/>
      <x:c r="AX30" s="88" t="str">
        <x:f>IF(B30="","",AV30*'Paramètres'!$B$4+AW30)</x:f>
      </x:c>
      <x:c r="AY30" s="25"/>
      <x:c r="AZ30" s="25"/>
      <x:c r="BA30" s="25"/>
    </x:row>
    <x:row r="31">
      <x:c r="A31" s="78" t="str">
        <x:f>IF(B31="","",ROW()-5)</x:f>
      </x:c>
      <x:c r="B31" s="80"/>
      <x:c r="C31" s="78" t="str">
        <x:f>IF(B31="","",YEAR(B31))</x:f>
      </x:c>
      <x:c r="D31" s="78" t="str">
        <x:f>IF(B31="","",CHOOSE(MONTH(B31),"Janvier","Février","Mars","Avril","Mai","Juin","Juillet","Août","Septembre","Octobre","Novembre","Décembre"))</x:f>
      </x:c>
      <x:c r="E31" s="78" t="str">
        <x:f>IF(B31="","",WEEKNUM(B31,2))</x:f>
      </x:c>
      <x:c r="F31" s="78" t="str">
        <x:f>IF(B31="","",CHOOSE(WEEKDAY(B31,2),"Lundi","Mardi","Mercredi","Jeudi","Vendredi","Samedi","Dimanche"))</x:f>
      </x:c>
      <x:c r="G31" s="82"/>
      <x:c r="H31" s="78" t="str">
        <x:f>IF(G31="","",IF(G31&lt;TIME(11,0,0),"Matin",IF(G31&lt;TIME(15,0,0),"Midi",IF(G31&lt;TIME(18,0,0),"Après-midi","Soir"))))</x:f>
      </x:c>
      <x:c r="I31" s="25"/>
      <x:c r="J31" s="25"/>
      <x:c r="K31" s="25"/>
      <x:c r="L31" s="25"/>
      <x:c r="M31" s="25"/>
      <x:c r="N31" s="25"/>
      <x:c r="O31" s="80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  <x:c r="AA31" s="25"/>
      <x:c r="AB31" s="25"/>
      <x:c r="AC31" s="92"/>
      <x:c r="AD31" s="92"/>
      <x:c r="AE31" s="92"/>
      <x:c r="AF31" s="92"/>
      <x:c r="AG31" s="92"/>
      <x:c r="AH31" s="92"/>
      <x:c r="AI31" s="92"/>
      <x:c r="AJ31" s="92"/>
      <x:c r="AK31" s="94" t="str">
        <x:f>IF(B31="","",SUM(AG31:AJ31))</x:f>
      </x:c>
      <x:c r="AL31" s="84" t="n">
        <x:f>IFERROR(AK31/AD31,0)</x:f>
        <x:v>0</x:v>
      </x:c>
      <x:c r="AM31" s="92"/>
      <x:c r="AN31" s="92"/>
      <x:c r="AO31" s="92"/>
      <x:c r="AP31" s="92"/>
      <x:c r="AQ31" s="25"/>
      <x:c r="AR31" s="25"/>
      <x:c r="AS31" s="86"/>
      <x:c r="AT31" s="86"/>
      <x:c r="AU31" s="86"/>
      <x:c r="AV31" s="90"/>
      <x:c r="AW31" s="86"/>
      <x:c r="AX31" s="88" t="str">
        <x:f>IF(B31="","",AV31*'Paramètres'!$B$4+AW31)</x:f>
      </x:c>
      <x:c r="AY31" s="25"/>
      <x:c r="AZ31" s="25"/>
      <x:c r="BA31" s="25"/>
    </x:row>
    <x:row r="32">
      <x:c r="A32" s="78" t="str">
        <x:f>IF(B32="","",ROW()-5)</x:f>
      </x:c>
      <x:c r="B32" s="80"/>
      <x:c r="C32" s="78" t="str">
        <x:f>IF(B32="","",YEAR(B32))</x:f>
      </x:c>
      <x:c r="D32" s="78" t="str">
        <x:f>IF(B32="","",CHOOSE(MONTH(B32),"Janvier","Février","Mars","Avril","Mai","Juin","Juillet","Août","Septembre","Octobre","Novembre","Décembre"))</x:f>
      </x:c>
      <x:c r="E32" s="78" t="str">
        <x:f>IF(B32="","",WEEKNUM(B32,2))</x:f>
      </x:c>
      <x:c r="F32" s="78" t="str">
        <x:f>IF(B32="","",CHOOSE(WEEKDAY(B32,2),"Lundi","Mardi","Mercredi","Jeudi","Vendredi","Samedi","Dimanche"))</x:f>
      </x:c>
      <x:c r="G32" s="82"/>
      <x:c r="H32" s="78" t="str">
        <x:f>IF(G32="","",IF(G32&lt;TIME(11,0,0),"Matin",IF(G32&lt;TIME(15,0,0),"Midi",IF(G32&lt;TIME(18,0,0),"Après-midi","Soir"))))</x:f>
      </x:c>
      <x:c r="I32" s="25"/>
      <x:c r="J32" s="25"/>
      <x:c r="K32" s="25"/>
      <x:c r="L32" s="25"/>
      <x:c r="M32" s="25"/>
      <x:c r="N32" s="25"/>
      <x:c r="O32" s="80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  <x:c r="AA32" s="25"/>
      <x:c r="AB32" s="25"/>
      <x:c r="AC32" s="92"/>
      <x:c r="AD32" s="92"/>
      <x:c r="AE32" s="92"/>
      <x:c r="AF32" s="92"/>
      <x:c r="AG32" s="92"/>
      <x:c r="AH32" s="92"/>
      <x:c r="AI32" s="92"/>
      <x:c r="AJ32" s="92"/>
      <x:c r="AK32" s="94" t="str">
        <x:f>IF(B32="","",SUM(AG32:AJ32))</x:f>
      </x:c>
      <x:c r="AL32" s="84" t="n">
        <x:f>IFERROR(AK32/AD32,0)</x:f>
        <x:v>0</x:v>
      </x:c>
      <x:c r="AM32" s="92"/>
      <x:c r="AN32" s="92"/>
      <x:c r="AO32" s="92"/>
      <x:c r="AP32" s="92"/>
      <x:c r="AQ32" s="25"/>
      <x:c r="AR32" s="25"/>
      <x:c r="AS32" s="86"/>
      <x:c r="AT32" s="86"/>
      <x:c r="AU32" s="86"/>
      <x:c r="AV32" s="90"/>
      <x:c r="AW32" s="86"/>
      <x:c r="AX32" s="88" t="str">
        <x:f>IF(B32="","",AV32*'Paramètres'!$B$4+AW32)</x:f>
      </x:c>
      <x:c r="AY32" s="25"/>
      <x:c r="AZ32" s="25"/>
      <x:c r="BA32" s="25"/>
    </x:row>
    <x:row r="33">
      <x:c r="A33" s="78" t="str">
        <x:f>IF(B33="","",ROW()-5)</x:f>
      </x:c>
      <x:c r="B33" s="80"/>
      <x:c r="C33" s="78" t="str">
        <x:f>IF(B33="","",YEAR(B33))</x:f>
      </x:c>
      <x:c r="D33" s="78" t="str">
        <x:f>IF(B33="","",CHOOSE(MONTH(B33),"Janvier","Février","Mars","Avril","Mai","Juin","Juillet","Août","Septembre","Octobre","Novembre","Décembre"))</x:f>
      </x:c>
      <x:c r="E33" s="78" t="str">
        <x:f>IF(B33="","",WEEKNUM(B33,2))</x:f>
      </x:c>
      <x:c r="F33" s="78" t="str">
        <x:f>IF(B33="","",CHOOSE(WEEKDAY(B33,2),"Lundi","Mardi","Mercredi","Jeudi","Vendredi","Samedi","Dimanche"))</x:f>
      </x:c>
      <x:c r="G33" s="82"/>
      <x:c r="H33" s="78" t="str">
        <x:f>IF(G33="","",IF(G33&lt;TIME(11,0,0),"Matin",IF(G33&lt;TIME(15,0,0),"Midi",IF(G33&lt;TIME(18,0,0),"Après-midi","Soir"))))</x:f>
      </x:c>
      <x:c r="I33" s="25"/>
      <x:c r="J33" s="25"/>
      <x:c r="K33" s="25"/>
      <x:c r="L33" s="25"/>
      <x:c r="M33" s="25"/>
      <x:c r="N33" s="25"/>
      <x:c r="O33" s="80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  <x:c r="AA33" s="25"/>
      <x:c r="AB33" s="25"/>
      <x:c r="AC33" s="92"/>
      <x:c r="AD33" s="92"/>
      <x:c r="AE33" s="92"/>
      <x:c r="AF33" s="92"/>
      <x:c r="AG33" s="92"/>
      <x:c r="AH33" s="92"/>
      <x:c r="AI33" s="92"/>
      <x:c r="AJ33" s="92"/>
      <x:c r="AK33" s="94" t="str">
        <x:f>IF(B33="","",SUM(AG33:AJ33))</x:f>
      </x:c>
      <x:c r="AL33" s="84" t="n">
        <x:f>IFERROR(AK33/AD33,0)</x:f>
        <x:v>0</x:v>
      </x:c>
      <x:c r="AM33" s="92"/>
      <x:c r="AN33" s="92"/>
      <x:c r="AO33" s="92"/>
      <x:c r="AP33" s="92"/>
      <x:c r="AQ33" s="25"/>
      <x:c r="AR33" s="25"/>
      <x:c r="AS33" s="86"/>
      <x:c r="AT33" s="86"/>
      <x:c r="AU33" s="86"/>
      <x:c r="AV33" s="90"/>
      <x:c r="AW33" s="86"/>
      <x:c r="AX33" s="88" t="str">
        <x:f>IF(B33="","",AV33*'Paramètres'!$B$4+AW33)</x:f>
      </x:c>
      <x:c r="AY33" s="25"/>
      <x:c r="AZ33" s="25"/>
      <x:c r="BA33" s="25"/>
    </x:row>
    <x:row r="34">
      <x:c r="A34" s="78" t="str">
        <x:f>IF(B34="","",ROW()-5)</x:f>
      </x:c>
      <x:c r="B34" s="80"/>
      <x:c r="C34" s="78" t="str">
        <x:f>IF(B34="","",YEAR(B34))</x:f>
      </x:c>
      <x:c r="D34" s="78" t="str">
        <x:f>IF(B34="","",CHOOSE(MONTH(B34),"Janvier","Février","Mars","Avril","Mai","Juin","Juillet","Août","Septembre","Octobre","Novembre","Décembre"))</x:f>
      </x:c>
      <x:c r="E34" s="78" t="str">
        <x:f>IF(B34="","",WEEKNUM(B34,2))</x:f>
      </x:c>
      <x:c r="F34" s="78" t="str">
        <x:f>IF(B34="","",CHOOSE(WEEKDAY(B34,2),"Lundi","Mardi","Mercredi","Jeudi","Vendredi","Samedi","Dimanche"))</x:f>
      </x:c>
      <x:c r="G34" s="82"/>
      <x:c r="H34" s="78" t="str">
        <x:f>IF(G34="","",IF(G34&lt;TIME(11,0,0),"Matin",IF(G34&lt;TIME(15,0,0),"Midi",IF(G34&lt;TIME(18,0,0),"Après-midi","Soir"))))</x:f>
      </x:c>
      <x:c r="I34" s="25"/>
      <x:c r="J34" s="25"/>
      <x:c r="K34" s="25"/>
      <x:c r="L34" s="25"/>
      <x:c r="M34" s="25"/>
      <x:c r="N34" s="25"/>
      <x:c r="O34" s="80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  <x:c r="AA34" s="25"/>
      <x:c r="AB34" s="25"/>
      <x:c r="AC34" s="92"/>
      <x:c r="AD34" s="92"/>
      <x:c r="AE34" s="92"/>
      <x:c r="AF34" s="92"/>
      <x:c r="AG34" s="92"/>
      <x:c r="AH34" s="92"/>
      <x:c r="AI34" s="92"/>
      <x:c r="AJ34" s="92"/>
      <x:c r="AK34" s="94" t="str">
        <x:f>IF(B34="","",SUM(AG34:AJ34))</x:f>
      </x:c>
      <x:c r="AL34" s="84" t="n">
        <x:f>IFERROR(AK34/AD34,0)</x:f>
        <x:v>0</x:v>
      </x:c>
      <x:c r="AM34" s="92"/>
      <x:c r="AN34" s="92"/>
      <x:c r="AO34" s="92"/>
      <x:c r="AP34" s="92"/>
      <x:c r="AQ34" s="25"/>
      <x:c r="AR34" s="25"/>
      <x:c r="AS34" s="86"/>
      <x:c r="AT34" s="86"/>
      <x:c r="AU34" s="86"/>
      <x:c r="AV34" s="90"/>
      <x:c r="AW34" s="86"/>
      <x:c r="AX34" s="88" t="str">
        <x:f>IF(B34="","",AV34*'Paramètres'!$B$4+AW34)</x:f>
      </x:c>
      <x:c r="AY34" s="25"/>
      <x:c r="AZ34" s="25"/>
      <x:c r="BA34" s="25"/>
    </x:row>
    <x:row r="35">
      <x:c r="A35" s="78" t="str">
        <x:f>IF(B35="","",ROW()-5)</x:f>
      </x:c>
      <x:c r="B35" s="80"/>
      <x:c r="C35" s="78" t="str">
        <x:f>IF(B35="","",YEAR(B35))</x:f>
      </x:c>
      <x:c r="D35" s="78" t="str">
        <x:f>IF(B35="","",CHOOSE(MONTH(B35),"Janvier","Février","Mars","Avril","Mai","Juin","Juillet","Août","Septembre","Octobre","Novembre","Décembre"))</x:f>
      </x:c>
      <x:c r="E35" s="78" t="str">
        <x:f>IF(B35="","",WEEKNUM(B35,2))</x:f>
      </x:c>
      <x:c r="F35" s="78" t="str">
        <x:f>IF(B35="","",CHOOSE(WEEKDAY(B35,2),"Lundi","Mardi","Mercredi","Jeudi","Vendredi","Samedi","Dimanche"))</x:f>
      </x:c>
      <x:c r="G35" s="82"/>
      <x:c r="H35" s="78" t="str">
        <x:f>IF(G35="","",IF(G35&lt;TIME(11,0,0),"Matin",IF(G35&lt;TIME(15,0,0),"Midi",IF(G35&lt;TIME(18,0,0),"Après-midi","Soir"))))</x:f>
      </x:c>
      <x:c r="I35" s="25"/>
      <x:c r="J35" s="25"/>
      <x:c r="K35" s="25"/>
      <x:c r="L35" s="25"/>
      <x:c r="M35" s="25"/>
      <x:c r="N35" s="25"/>
      <x:c r="O35" s="80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  <x:c r="AA35" s="25"/>
      <x:c r="AB35" s="25"/>
      <x:c r="AC35" s="92"/>
      <x:c r="AD35" s="92"/>
      <x:c r="AE35" s="92"/>
      <x:c r="AF35" s="92"/>
      <x:c r="AG35" s="92"/>
      <x:c r="AH35" s="92"/>
      <x:c r="AI35" s="92"/>
      <x:c r="AJ35" s="92"/>
      <x:c r="AK35" s="94" t="str">
        <x:f>IF(B35="","",SUM(AG35:AJ35))</x:f>
      </x:c>
      <x:c r="AL35" s="84" t="n">
        <x:f>IFERROR(AK35/AD35,0)</x:f>
        <x:v>0</x:v>
      </x:c>
      <x:c r="AM35" s="92"/>
      <x:c r="AN35" s="92"/>
      <x:c r="AO35" s="92"/>
      <x:c r="AP35" s="92"/>
      <x:c r="AQ35" s="25"/>
      <x:c r="AR35" s="25"/>
      <x:c r="AS35" s="86"/>
      <x:c r="AT35" s="86"/>
      <x:c r="AU35" s="86"/>
      <x:c r="AV35" s="90"/>
      <x:c r="AW35" s="86"/>
      <x:c r="AX35" s="88" t="str">
        <x:f>IF(B35="","",AV35*'Paramètres'!$B$4+AW35)</x:f>
      </x:c>
      <x:c r="AY35" s="25"/>
      <x:c r="AZ35" s="25"/>
      <x:c r="BA35" s="25"/>
    </x:row>
    <x:row r="36">
      <x:c r="A36" s="78" t="str">
        <x:f>IF(B36="","",ROW()-5)</x:f>
      </x:c>
      <x:c r="B36" s="80"/>
      <x:c r="C36" s="78" t="str">
        <x:f>IF(B36="","",YEAR(B36))</x:f>
      </x:c>
      <x:c r="D36" s="78" t="str">
        <x:f>IF(B36="","",CHOOSE(MONTH(B36),"Janvier","Février","Mars","Avril","Mai","Juin","Juillet","Août","Septembre","Octobre","Novembre","Décembre"))</x:f>
      </x:c>
      <x:c r="E36" s="78" t="str">
        <x:f>IF(B36="","",WEEKNUM(B36,2))</x:f>
      </x:c>
      <x:c r="F36" s="78" t="str">
        <x:f>IF(B36="","",CHOOSE(WEEKDAY(B36,2),"Lundi","Mardi","Mercredi","Jeudi","Vendredi","Samedi","Dimanche"))</x:f>
      </x:c>
      <x:c r="G36" s="82"/>
      <x:c r="H36" s="78" t="str">
        <x:f>IF(G36="","",IF(G36&lt;TIME(11,0,0),"Matin",IF(G36&lt;TIME(15,0,0),"Midi",IF(G36&lt;TIME(18,0,0),"Après-midi","Soir"))))</x:f>
      </x:c>
      <x:c r="I36" s="25"/>
      <x:c r="J36" s="25"/>
      <x:c r="K36" s="25"/>
      <x:c r="L36" s="25"/>
      <x:c r="M36" s="25"/>
      <x:c r="N36" s="25"/>
      <x:c r="O36" s="80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  <x:c r="AA36" s="25"/>
      <x:c r="AB36" s="25"/>
      <x:c r="AC36" s="92"/>
      <x:c r="AD36" s="92"/>
      <x:c r="AE36" s="92"/>
      <x:c r="AF36" s="92"/>
      <x:c r="AG36" s="92"/>
      <x:c r="AH36" s="92"/>
      <x:c r="AI36" s="92"/>
      <x:c r="AJ36" s="92"/>
      <x:c r="AK36" s="94" t="str">
        <x:f>IF(B36="","",SUM(AG36:AJ36))</x:f>
      </x:c>
      <x:c r="AL36" s="84" t="n">
        <x:f>IFERROR(AK36/AD36,0)</x:f>
        <x:v>0</x:v>
      </x:c>
      <x:c r="AM36" s="92"/>
      <x:c r="AN36" s="92"/>
      <x:c r="AO36" s="92"/>
      <x:c r="AP36" s="92"/>
      <x:c r="AQ36" s="25"/>
      <x:c r="AR36" s="25"/>
      <x:c r="AS36" s="86"/>
      <x:c r="AT36" s="86"/>
      <x:c r="AU36" s="86"/>
      <x:c r="AV36" s="90"/>
      <x:c r="AW36" s="86"/>
      <x:c r="AX36" s="88" t="str">
        <x:f>IF(B36="","",AV36*'Paramètres'!$B$4+AW36)</x:f>
      </x:c>
      <x:c r="AY36" s="25"/>
      <x:c r="AZ36" s="25"/>
      <x:c r="BA36" s="25"/>
    </x:row>
    <x:row r="37">
      <x:c r="A37" s="78" t="str">
        <x:f>IF(B37="","",ROW()-5)</x:f>
      </x:c>
      <x:c r="B37" s="80"/>
      <x:c r="C37" s="78" t="str">
        <x:f>IF(B37="","",YEAR(B37))</x:f>
      </x:c>
      <x:c r="D37" s="78" t="str">
        <x:f>IF(B37="","",CHOOSE(MONTH(B37),"Janvier","Février","Mars","Avril","Mai","Juin","Juillet","Août","Septembre","Octobre","Novembre","Décembre"))</x:f>
      </x:c>
      <x:c r="E37" s="78" t="str">
        <x:f>IF(B37="","",WEEKNUM(B37,2))</x:f>
      </x:c>
      <x:c r="F37" s="78" t="str">
        <x:f>IF(B37="","",CHOOSE(WEEKDAY(B37,2),"Lundi","Mardi","Mercredi","Jeudi","Vendredi","Samedi","Dimanche"))</x:f>
      </x:c>
      <x:c r="G37" s="82"/>
      <x:c r="H37" s="78" t="str">
        <x:f>IF(G37="","",IF(G37&lt;TIME(11,0,0),"Matin",IF(G37&lt;TIME(15,0,0),"Midi",IF(G37&lt;TIME(18,0,0),"Après-midi","Soir"))))</x:f>
      </x:c>
      <x:c r="I37" s="25"/>
      <x:c r="J37" s="25"/>
      <x:c r="K37" s="25"/>
      <x:c r="L37" s="25"/>
      <x:c r="M37" s="25"/>
      <x:c r="N37" s="25"/>
      <x:c r="O37" s="80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  <x:c r="AA37" s="25"/>
      <x:c r="AB37" s="25"/>
      <x:c r="AC37" s="92"/>
      <x:c r="AD37" s="92"/>
      <x:c r="AE37" s="92"/>
      <x:c r="AF37" s="92"/>
      <x:c r="AG37" s="92"/>
      <x:c r="AH37" s="92"/>
      <x:c r="AI37" s="92"/>
      <x:c r="AJ37" s="92"/>
      <x:c r="AK37" s="94" t="str">
        <x:f>IF(B37="","",SUM(AG37:AJ37))</x:f>
      </x:c>
      <x:c r="AL37" s="84" t="n">
        <x:f>IFERROR(AK37/AD37,0)</x:f>
        <x:v>0</x:v>
      </x:c>
      <x:c r="AM37" s="92"/>
      <x:c r="AN37" s="92"/>
      <x:c r="AO37" s="92"/>
      <x:c r="AP37" s="92"/>
      <x:c r="AQ37" s="25"/>
      <x:c r="AR37" s="25"/>
      <x:c r="AS37" s="86"/>
      <x:c r="AT37" s="86"/>
      <x:c r="AU37" s="86"/>
      <x:c r="AV37" s="90"/>
      <x:c r="AW37" s="86"/>
      <x:c r="AX37" s="88" t="str">
        <x:f>IF(B37="","",AV37*'Paramètres'!$B$4+AW37)</x:f>
      </x:c>
      <x:c r="AY37" s="25"/>
      <x:c r="AZ37" s="25"/>
      <x:c r="BA37" s="25"/>
    </x:row>
    <x:row r="38">
      <x:c r="A38" s="78" t="str">
        <x:f>IF(B38="","",ROW()-5)</x:f>
      </x:c>
      <x:c r="B38" s="80"/>
      <x:c r="C38" s="78" t="str">
        <x:f>IF(B38="","",YEAR(B38))</x:f>
      </x:c>
      <x:c r="D38" s="78" t="str">
        <x:f>IF(B38="","",CHOOSE(MONTH(B38),"Janvier","Février","Mars","Avril","Mai","Juin","Juillet","Août","Septembre","Octobre","Novembre","Décembre"))</x:f>
      </x:c>
      <x:c r="E38" s="78" t="str">
        <x:f>IF(B38="","",WEEKNUM(B38,2))</x:f>
      </x:c>
      <x:c r="F38" s="78" t="str">
        <x:f>IF(B38="","",CHOOSE(WEEKDAY(B38,2),"Lundi","Mardi","Mercredi","Jeudi","Vendredi","Samedi","Dimanche"))</x:f>
      </x:c>
      <x:c r="G38" s="82"/>
      <x:c r="H38" s="78" t="str">
        <x:f>IF(G38="","",IF(G38&lt;TIME(11,0,0),"Matin",IF(G38&lt;TIME(15,0,0),"Midi",IF(G38&lt;TIME(18,0,0),"Après-midi","Soir"))))</x:f>
      </x:c>
      <x:c r="I38" s="25"/>
      <x:c r="J38" s="25"/>
      <x:c r="K38" s="25"/>
      <x:c r="L38" s="25"/>
      <x:c r="M38" s="25"/>
      <x:c r="N38" s="25"/>
      <x:c r="O38" s="80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  <x:c r="AA38" s="25"/>
      <x:c r="AB38" s="25"/>
      <x:c r="AC38" s="92"/>
      <x:c r="AD38" s="92"/>
      <x:c r="AE38" s="92"/>
      <x:c r="AF38" s="92"/>
      <x:c r="AG38" s="92"/>
      <x:c r="AH38" s="92"/>
      <x:c r="AI38" s="92"/>
      <x:c r="AJ38" s="92"/>
      <x:c r="AK38" s="94" t="str">
        <x:f>IF(B38="","",SUM(AG38:AJ38))</x:f>
      </x:c>
      <x:c r="AL38" s="84" t="n">
        <x:f>IFERROR(AK38/AD38,0)</x:f>
        <x:v>0</x:v>
      </x:c>
      <x:c r="AM38" s="92"/>
      <x:c r="AN38" s="92"/>
      <x:c r="AO38" s="92"/>
      <x:c r="AP38" s="92"/>
      <x:c r="AQ38" s="25"/>
      <x:c r="AR38" s="25"/>
      <x:c r="AS38" s="86"/>
      <x:c r="AT38" s="86"/>
      <x:c r="AU38" s="86"/>
      <x:c r="AV38" s="90"/>
      <x:c r="AW38" s="86"/>
      <x:c r="AX38" s="88" t="str">
        <x:f>IF(B38="","",AV38*'Paramètres'!$B$4+AW38)</x:f>
      </x:c>
      <x:c r="AY38" s="25"/>
      <x:c r="AZ38" s="25"/>
      <x:c r="BA38" s="25"/>
    </x:row>
    <x:row r="39">
      <x:c r="A39" s="78" t="str">
        <x:f>IF(B39="","",ROW()-5)</x:f>
      </x:c>
      <x:c r="B39" s="80"/>
      <x:c r="C39" s="78" t="str">
        <x:f>IF(B39="","",YEAR(B39))</x:f>
      </x:c>
      <x:c r="D39" s="78" t="str">
        <x:f>IF(B39="","",CHOOSE(MONTH(B39),"Janvier","Février","Mars","Avril","Mai","Juin","Juillet","Août","Septembre","Octobre","Novembre","Décembre"))</x:f>
      </x:c>
      <x:c r="E39" s="78" t="str">
        <x:f>IF(B39="","",WEEKNUM(B39,2))</x:f>
      </x:c>
      <x:c r="F39" s="78" t="str">
        <x:f>IF(B39="","",CHOOSE(WEEKDAY(B39,2),"Lundi","Mardi","Mercredi","Jeudi","Vendredi","Samedi","Dimanche"))</x:f>
      </x:c>
      <x:c r="G39" s="82"/>
      <x:c r="H39" s="78" t="str">
        <x:f>IF(G39="","",IF(G39&lt;TIME(11,0,0),"Matin",IF(G39&lt;TIME(15,0,0),"Midi",IF(G39&lt;TIME(18,0,0),"Après-midi","Soir"))))</x:f>
      </x:c>
      <x:c r="I39" s="25"/>
      <x:c r="J39" s="25"/>
      <x:c r="K39" s="25"/>
      <x:c r="L39" s="25"/>
      <x:c r="M39" s="25"/>
      <x:c r="N39" s="25"/>
      <x:c r="O39" s="80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  <x:c r="AA39" s="25"/>
      <x:c r="AB39" s="25"/>
      <x:c r="AC39" s="92"/>
      <x:c r="AD39" s="92"/>
      <x:c r="AE39" s="92"/>
      <x:c r="AF39" s="92"/>
      <x:c r="AG39" s="92"/>
      <x:c r="AH39" s="92"/>
      <x:c r="AI39" s="92"/>
      <x:c r="AJ39" s="92"/>
      <x:c r="AK39" s="94" t="str">
        <x:f>IF(B39="","",SUM(AG39:AJ39))</x:f>
      </x:c>
      <x:c r="AL39" s="84" t="n">
        <x:f>IFERROR(AK39/AD39,0)</x:f>
        <x:v>0</x:v>
      </x:c>
      <x:c r="AM39" s="92"/>
      <x:c r="AN39" s="92"/>
      <x:c r="AO39" s="92"/>
      <x:c r="AP39" s="92"/>
      <x:c r="AQ39" s="25"/>
      <x:c r="AR39" s="25"/>
      <x:c r="AS39" s="86"/>
      <x:c r="AT39" s="86"/>
      <x:c r="AU39" s="86"/>
      <x:c r="AV39" s="90"/>
      <x:c r="AW39" s="86"/>
      <x:c r="AX39" s="88" t="str">
        <x:f>IF(B39="","",AV39*'Paramètres'!$B$4+AW39)</x:f>
      </x:c>
      <x:c r="AY39" s="25"/>
      <x:c r="AZ39" s="25"/>
      <x:c r="BA39" s="25"/>
    </x:row>
    <x:row r="40">
      <x:c r="A40" s="78" t="str">
        <x:f>IF(B40="","",ROW()-5)</x:f>
      </x:c>
      <x:c r="B40" s="80"/>
      <x:c r="C40" s="78" t="str">
        <x:f>IF(B40="","",YEAR(B40))</x:f>
      </x:c>
      <x:c r="D40" s="78" t="str">
        <x:f>IF(B40="","",CHOOSE(MONTH(B40),"Janvier","Février","Mars","Avril","Mai","Juin","Juillet","Août","Septembre","Octobre","Novembre","Décembre"))</x:f>
      </x:c>
      <x:c r="E40" s="78" t="str">
        <x:f>IF(B40="","",WEEKNUM(B40,2))</x:f>
      </x:c>
      <x:c r="F40" s="78" t="str">
        <x:f>IF(B40="","",CHOOSE(WEEKDAY(B40,2),"Lundi","Mardi","Mercredi","Jeudi","Vendredi","Samedi","Dimanche"))</x:f>
      </x:c>
      <x:c r="G40" s="82"/>
      <x:c r="H40" s="78" t="str">
        <x:f>IF(G40="","",IF(G40&lt;TIME(11,0,0),"Matin",IF(G40&lt;TIME(15,0,0),"Midi",IF(G40&lt;TIME(18,0,0),"Après-midi","Soir"))))</x:f>
      </x:c>
      <x:c r="I40" s="25"/>
      <x:c r="J40" s="25"/>
      <x:c r="K40" s="25"/>
      <x:c r="L40" s="25"/>
      <x:c r="M40" s="25"/>
      <x:c r="N40" s="25"/>
      <x:c r="O40" s="80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  <x:c r="AA40" s="25"/>
      <x:c r="AB40" s="25"/>
      <x:c r="AC40" s="92"/>
      <x:c r="AD40" s="92"/>
      <x:c r="AE40" s="92"/>
      <x:c r="AF40" s="92"/>
      <x:c r="AG40" s="92"/>
      <x:c r="AH40" s="92"/>
      <x:c r="AI40" s="92"/>
      <x:c r="AJ40" s="92"/>
      <x:c r="AK40" s="94" t="str">
        <x:f>IF(B40="","",SUM(AG40:AJ40))</x:f>
      </x:c>
      <x:c r="AL40" s="84" t="n">
        <x:f>IFERROR(AK40/AD40,0)</x:f>
        <x:v>0</x:v>
      </x:c>
      <x:c r="AM40" s="92"/>
      <x:c r="AN40" s="92"/>
      <x:c r="AO40" s="92"/>
      <x:c r="AP40" s="92"/>
      <x:c r="AQ40" s="25"/>
      <x:c r="AR40" s="25"/>
      <x:c r="AS40" s="86"/>
      <x:c r="AT40" s="86"/>
      <x:c r="AU40" s="86"/>
      <x:c r="AV40" s="90"/>
      <x:c r="AW40" s="86"/>
      <x:c r="AX40" s="88" t="str">
        <x:f>IF(B40="","",AV40*'Paramètres'!$B$4+AW40)</x:f>
      </x:c>
      <x:c r="AY40" s="25"/>
      <x:c r="AZ40" s="25"/>
      <x:c r="BA40" s="25"/>
    </x:row>
    <x:row r="41">
      <x:c r="A41" s="78" t="str">
        <x:f>IF(B41="","",ROW()-5)</x:f>
      </x:c>
      <x:c r="B41" s="80"/>
      <x:c r="C41" s="78" t="str">
        <x:f>IF(B41="","",YEAR(B41))</x:f>
      </x:c>
      <x:c r="D41" s="78" t="str">
        <x:f>IF(B41="","",CHOOSE(MONTH(B41),"Janvier","Février","Mars","Avril","Mai","Juin","Juillet","Août","Septembre","Octobre","Novembre","Décembre"))</x:f>
      </x:c>
      <x:c r="E41" s="78" t="str">
        <x:f>IF(B41="","",WEEKNUM(B41,2))</x:f>
      </x:c>
      <x:c r="F41" s="78" t="str">
        <x:f>IF(B41="","",CHOOSE(WEEKDAY(B41,2),"Lundi","Mardi","Mercredi","Jeudi","Vendredi","Samedi","Dimanche"))</x:f>
      </x:c>
      <x:c r="G41" s="82"/>
      <x:c r="H41" s="78" t="str">
        <x:f>IF(G41="","",IF(G41&lt;TIME(11,0,0),"Matin",IF(G41&lt;TIME(15,0,0),"Midi",IF(G41&lt;TIME(18,0,0),"Après-midi","Soir"))))</x:f>
      </x:c>
      <x:c r="I41" s="25"/>
      <x:c r="J41" s="25"/>
      <x:c r="K41" s="25"/>
      <x:c r="L41" s="25"/>
      <x:c r="M41" s="25"/>
      <x:c r="N41" s="25"/>
      <x:c r="O41" s="80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  <x:c r="AA41" s="25"/>
      <x:c r="AB41" s="25"/>
      <x:c r="AC41" s="92"/>
      <x:c r="AD41" s="92"/>
      <x:c r="AE41" s="92"/>
      <x:c r="AF41" s="92"/>
      <x:c r="AG41" s="92"/>
      <x:c r="AH41" s="92"/>
      <x:c r="AI41" s="92"/>
      <x:c r="AJ41" s="92"/>
      <x:c r="AK41" s="94" t="str">
        <x:f>IF(B41="","",SUM(AG41:AJ41))</x:f>
      </x:c>
      <x:c r="AL41" s="84" t="n">
        <x:f>IFERROR(AK41/AD41,0)</x:f>
        <x:v>0</x:v>
      </x:c>
      <x:c r="AM41" s="92"/>
      <x:c r="AN41" s="92"/>
      <x:c r="AO41" s="92"/>
      <x:c r="AP41" s="92"/>
      <x:c r="AQ41" s="25"/>
      <x:c r="AR41" s="25"/>
      <x:c r="AS41" s="86"/>
      <x:c r="AT41" s="86"/>
      <x:c r="AU41" s="86"/>
      <x:c r="AV41" s="90"/>
      <x:c r="AW41" s="86"/>
      <x:c r="AX41" s="88" t="str">
        <x:f>IF(B41="","",AV41*'Paramètres'!$B$4+AW41)</x:f>
      </x:c>
      <x:c r="AY41" s="25"/>
      <x:c r="AZ41" s="25"/>
      <x:c r="BA41" s="25"/>
    </x:row>
    <x:row r="42">
      <x:c r="A42" s="78" t="str">
        <x:f>IF(B42="","",ROW()-5)</x:f>
      </x:c>
      <x:c r="B42" s="80"/>
      <x:c r="C42" s="78" t="str">
        <x:f>IF(B42="","",YEAR(B42))</x:f>
      </x:c>
      <x:c r="D42" s="78" t="str">
        <x:f>IF(B42="","",CHOOSE(MONTH(B42),"Janvier","Février","Mars","Avril","Mai","Juin","Juillet","Août","Septembre","Octobre","Novembre","Décembre"))</x:f>
      </x:c>
      <x:c r="E42" s="78" t="str">
        <x:f>IF(B42="","",WEEKNUM(B42,2))</x:f>
      </x:c>
      <x:c r="F42" s="78" t="str">
        <x:f>IF(B42="","",CHOOSE(WEEKDAY(B42,2),"Lundi","Mardi","Mercredi","Jeudi","Vendredi","Samedi","Dimanche"))</x:f>
      </x:c>
      <x:c r="G42" s="82"/>
      <x:c r="H42" s="78" t="str">
        <x:f>IF(G42="","",IF(G42&lt;TIME(11,0,0),"Matin",IF(G42&lt;TIME(15,0,0),"Midi",IF(G42&lt;TIME(18,0,0),"Après-midi","Soir"))))</x:f>
      </x:c>
      <x:c r="I42" s="25"/>
      <x:c r="J42" s="25"/>
      <x:c r="K42" s="25"/>
      <x:c r="L42" s="25"/>
      <x:c r="M42" s="25"/>
      <x:c r="N42" s="25"/>
      <x:c r="O42" s="80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  <x:c r="AA42" s="25"/>
      <x:c r="AB42" s="25"/>
      <x:c r="AC42" s="92"/>
      <x:c r="AD42" s="92"/>
      <x:c r="AE42" s="92"/>
      <x:c r="AF42" s="92"/>
      <x:c r="AG42" s="92"/>
      <x:c r="AH42" s="92"/>
      <x:c r="AI42" s="92"/>
      <x:c r="AJ42" s="92"/>
      <x:c r="AK42" s="94" t="str">
        <x:f>IF(B42="","",SUM(AG42:AJ42))</x:f>
      </x:c>
      <x:c r="AL42" s="84" t="n">
        <x:f>IFERROR(AK42/AD42,0)</x:f>
        <x:v>0</x:v>
      </x:c>
      <x:c r="AM42" s="92"/>
      <x:c r="AN42" s="92"/>
      <x:c r="AO42" s="92"/>
      <x:c r="AP42" s="92"/>
      <x:c r="AQ42" s="25"/>
      <x:c r="AR42" s="25"/>
      <x:c r="AS42" s="86"/>
      <x:c r="AT42" s="86"/>
      <x:c r="AU42" s="86"/>
      <x:c r="AV42" s="90"/>
      <x:c r="AW42" s="86"/>
      <x:c r="AX42" s="88" t="str">
        <x:f>IF(B42="","",AV42*'Paramètres'!$B$4+AW42)</x:f>
      </x:c>
      <x:c r="AY42" s="25"/>
      <x:c r="AZ42" s="25"/>
      <x:c r="BA42" s="25"/>
    </x:row>
    <x:row r="43">
      <x:c r="A43" s="78" t="str">
        <x:f>IF(B43="","",ROW()-5)</x:f>
      </x:c>
      <x:c r="B43" s="80"/>
      <x:c r="C43" s="78" t="str">
        <x:f>IF(B43="","",YEAR(B43))</x:f>
      </x:c>
      <x:c r="D43" s="78" t="str">
        <x:f>IF(B43="","",CHOOSE(MONTH(B43),"Janvier","Février","Mars","Avril","Mai","Juin","Juillet","Août","Septembre","Octobre","Novembre","Décembre"))</x:f>
      </x:c>
      <x:c r="E43" s="78" t="str">
        <x:f>IF(B43="","",WEEKNUM(B43,2))</x:f>
      </x:c>
      <x:c r="F43" s="78" t="str">
        <x:f>IF(B43="","",CHOOSE(WEEKDAY(B43,2),"Lundi","Mardi","Mercredi","Jeudi","Vendredi","Samedi","Dimanche"))</x:f>
      </x:c>
      <x:c r="G43" s="82"/>
      <x:c r="H43" s="78" t="str">
        <x:f>IF(G43="","",IF(G43&lt;TIME(11,0,0),"Matin",IF(G43&lt;TIME(15,0,0),"Midi",IF(G43&lt;TIME(18,0,0),"Après-midi","Soir"))))</x:f>
      </x:c>
      <x:c r="I43" s="25"/>
      <x:c r="J43" s="25"/>
      <x:c r="K43" s="25"/>
      <x:c r="L43" s="25"/>
      <x:c r="M43" s="25"/>
      <x:c r="N43" s="25"/>
      <x:c r="O43" s="80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  <x:c r="AA43" s="25"/>
      <x:c r="AB43" s="25"/>
      <x:c r="AC43" s="92"/>
      <x:c r="AD43" s="92"/>
      <x:c r="AE43" s="92"/>
      <x:c r="AF43" s="92"/>
      <x:c r="AG43" s="92"/>
      <x:c r="AH43" s="92"/>
      <x:c r="AI43" s="92"/>
      <x:c r="AJ43" s="92"/>
      <x:c r="AK43" s="94" t="str">
        <x:f>IF(B43="","",SUM(AG43:AJ43))</x:f>
      </x:c>
      <x:c r="AL43" s="84" t="n">
        <x:f>IFERROR(AK43/AD43,0)</x:f>
        <x:v>0</x:v>
      </x:c>
      <x:c r="AM43" s="92"/>
      <x:c r="AN43" s="92"/>
      <x:c r="AO43" s="92"/>
      <x:c r="AP43" s="92"/>
      <x:c r="AQ43" s="25"/>
      <x:c r="AR43" s="25"/>
      <x:c r="AS43" s="86"/>
      <x:c r="AT43" s="86"/>
      <x:c r="AU43" s="86"/>
      <x:c r="AV43" s="90"/>
      <x:c r="AW43" s="86"/>
      <x:c r="AX43" s="88" t="str">
        <x:f>IF(B43="","",AV43*'Paramètres'!$B$4+AW43)</x:f>
      </x:c>
      <x:c r="AY43" s="25"/>
      <x:c r="AZ43" s="25"/>
      <x:c r="BA43" s="25"/>
    </x:row>
    <x:row r="44">
      <x:c r="A44" s="78" t="str">
        <x:f>IF(B44="","",ROW()-5)</x:f>
      </x:c>
      <x:c r="B44" s="80"/>
      <x:c r="C44" s="78" t="str">
        <x:f>IF(B44="","",YEAR(B44))</x:f>
      </x:c>
      <x:c r="D44" s="78" t="str">
        <x:f>IF(B44="","",CHOOSE(MONTH(B44),"Janvier","Février","Mars","Avril","Mai","Juin","Juillet","Août","Septembre","Octobre","Novembre","Décembre"))</x:f>
      </x:c>
      <x:c r="E44" s="78" t="str">
        <x:f>IF(B44="","",WEEKNUM(B44,2))</x:f>
      </x:c>
      <x:c r="F44" s="78" t="str">
        <x:f>IF(B44="","",CHOOSE(WEEKDAY(B44,2),"Lundi","Mardi","Mercredi","Jeudi","Vendredi","Samedi","Dimanche"))</x:f>
      </x:c>
      <x:c r="G44" s="82"/>
      <x:c r="H44" s="78" t="str">
        <x:f>IF(G44="","",IF(G44&lt;TIME(11,0,0),"Matin",IF(G44&lt;TIME(15,0,0),"Midi",IF(G44&lt;TIME(18,0,0),"Après-midi","Soir"))))</x:f>
      </x:c>
      <x:c r="I44" s="25"/>
      <x:c r="J44" s="25"/>
      <x:c r="K44" s="25"/>
      <x:c r="L44" s="25"/>
      <x:c r="M44" s="25"/>
      <x:c r="N44" s="25"/>
      <x:c r="O44" s="80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  <x:c r="AA44" s="25"/>
      <x:c r="AB44" s="25"/>
      <x:c r="AC44" s="92"/>
      <x:c r="AD44" s="92"/>
      <x:c r="AE44" s="92"/>
      <x:c r="AF44" s="92"/>
      <x:c r="AG44" s="92"/>
      <x:c r="AH44" s="92"/>
      <x:c r="AI44" s="92"/>
      <x:c r="AJ44" s="92"/>
      <x:c r="AK44" s="94" t="str">
        <x:f>IF(B44="","",SUM(AG44:AJ44))</x:f>
      </x:c>
      <x:c r="AL44" s="84" t="n">
        <x:f>IFERROR(AK44/AD44,0)</x:f>
        <x:v>0</x:v>
      </x:c>
      <x:c r="AM44" s="92"/>
      <x:c r="AN44" s="92"/>
      <x:c r="AO44" s="92"/>
      <x:c r="AP44" s="92"/>
      <x:c r="AQ44" s="25"/>
      <x:c r="AR44" s="25"/>
      <x:c r="AS44" s="86"/>
      <x:c r="AT44" s="86"/>
      <x:c r="AU44" s="86"/>
      <x:c r="AV44" s="90"/>
      <x:c r="AW44" s="86"/>
      <x:c r="AX44" s="88" t="str">
        <x:f>IF(B44="","",AV44*'Paramètres'!$B$4+AW44)</x:f>
      </x:c>
      <x:c r="AY44" s="25"/>
      <x:c r="AZ44" s="25"/>
      <x:c r="BA44" s="25"/>
    </x:row>
    <x:row r="45">
      <x:c r="A45" s="78" t="str">
        <x:f>IF(B45="","",ROW()-5)</x:f>
      </x:c>
      <x:c r="B45" s="80"/>
      <x:c r="C45" s="78" t="str">
        <x:f>IF(B45="","",YEAR(B45))</x:f>
      </x:c>
      <x:c r="D45" s="78" t="str">
        <x:f>IF(B45="","",CHOOSE(MONTH(B45),"Janvier","Février","Mars","Avril","Mai","Juin","Juillet","Août","Septembre","Octobre","Novembre","Décembre"))</x:f>
      </x:c>
      <x:c r="E45" s="78" t="str">
        <x:f>IF(B45="","",WEEKNUM(B45,2))</x:f>
      </x:c>
      <x:c r="F45" s="78" t="str">
        <x:f>IF(B45="","",CHOOSE(WEEKDAY(B45,2),"Lundi","Mardi","Mercredi","Jeudi","Vendredi","Samedi","Dimanche"))</x:f>
      </x:c>
      <x:c r="G45" s="82"/>
      <x:c r="H45" s="78" t="str">
        <x:f>IF(G45="","",IF(G45&lt;TIME(11,0,0),"Matin",IF(G45&lt;TIME(15,0,0),"Midi",IF(G45&lt;TIME(18,0,0),"Après-midi","Soir"))))</x:f>
      </x:c>
      <x:c r="I45" s="25"/>
      <x:c r="J45" s="25"/>
      <x:c r="K45" s="25"/>
      <x:c r="L45" s="25"/>
      <x:c r="M45" s="25"/>
      <x:c r="N45" s="25"/>
      <x:c r="O45" s="80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  <x:c r="AA45" s="25"/>
      <x:c r="AB45" s="25"/>
      <x:c r="AC45" s="92"/>
      <x:c r="AD45" s="92"/>
      <x:c r="AE45" s="92"/>
      <x:c r="AF45" s="92"/>
      <x:c r="AG45" s="92"/>
      <x:c r="AH45" s="92"/>
      <x:c r="AI45" s="92"/>
      <x:c r="AJ45" s="92"/>
      <x:c r="AK45" s="94" t="str">
        <x:f>IF(B45="","",SUM(AG45:AJ45))</x:f>
      </x:c>
      <x:c r="AL45" s="84" t="n">
        <x:f>IFERROR(AK45/AD45,0)</x:f>
        <x:v>0</x:v>
      </x:c>
      <x:c r="AM45" s="92"/>
      <x:c r="AN45" s="92"/>
      <x:c r="AO45" s="92"/>
      <x:c r="AP45" s="92"/>
      <x:c r="AQ45" s="25"/>
      <x:c r="AR45" s="25"/>
      <x:c r="AS45" s="86"/>
      <x:c r="AT45" s="86"/>
      <x:c r="AU45" s="86"/>
      <x:c r="AV45" s="90"/>
      <x:c r="AW45" s="86"/>
      <x:c r="AX45" s="88" t="str">
        <x:f>IF(B45="","",AV45*'Paramètres'!$B$4+AW45)</x:f>
      </x:c>
      <x:c r="AY45" s="25"/>
      <x:c r="AZ45" s="25"/>
      <x:c r="BA45" s="25"/>
    </x:row>
    <x:row r="46">
      <x:c r="A46" s="78" t="str">
        <x:f>IF(B46="","",ROW()-5)</x:f>
      </x:c>
      <x:c r="B46" s="80"/>
      <x:c r="C46" s="78" t="str">
        <x:f>IF(B46="","",YEAR(B46))</x:f>
      </x:c>
      <x:c r="D46" s="78" t="str">
        <x:f>IF(B46="","",CHOOSE(MONTH(B46),"Janvier","Février","Mars","Avril","Mai","Juin","Juillet","Août","Septembre","Octobre","Novembre","Décembre"))</x:f>
      </x:c>
      <x:c r="E46" s="78" t="str">
        <x:f>IF(B46="","",WEEKNUM(B46,2))</x:f>
      </x:c>
      <x:c r="F46" s="78" t="str">
        <x:f>IF(B46="","",CHOOSE(WEEKDAY(B46,2),"Lundi","Mardi","Mercredi","Jeudi","Vendredi","Samedi","Dimanche"))</x:f>
      </x:c>
      <x:c r="G46" s="82"/>
      <x:c r="H46" s="78" t="str">
        <x:f>IF(G46="","",IF(G46&lt;TIME(11,0,0),"Matin",IF(G46&lt;TIME(15,0,0),"Midi",IF(G46&lt;TIME(18,0,0),"Après-midi","Soir"))))</x:f>
      </x:c>
      <x:c r="I46" s="25"/>
      <x:c r="J46" s="25"/>
      <x:c r="K46" s="25"/>
      <x:c r="L46" s="25"/>
      <x:c r="M46" s="25"/>
      <x:c r="N46" s="25"/>
      <x:c r="O46" s="80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  <x:c r="AA46" s="25"/>
      <x:c r="AB46" s="25"/>
      <x:c r="AC46" s="92"/>
      <x:c r="AD46" s="92"/>
      <x:c r="AE46" s="92"/>
      <x:c r="AF46" s="92"/>
      <x:c r="AG46" s="92"/>
      <x:c r="AH46" s="92"/>
      <x:c r="AI46" s="92"/>
      <x:c r="AJ46" s="92"/>
      <x:c r="AK46" s="94" t="str">
        <x:f>IF(B46="","",SUM(AG46:AJ46))</x:f>
      </x:c>
      <x:c r="AL46" s="84" t="n">
        <x:f>IFERROR(AK46/AD46,0)</x:f>
        <x:v>0</x:v>
      </x:c>
      <x:c r="AM46" s="92"/>
      <x:c r="AN46" s="92"/>
      <x:c r="AO46" s="92"/>
      <x:c r="AP46" s="92"/>
      <x:c r="AQ46" s="25"/>
      <x:c r="AR46" s="25"/>
      <x:c r="AS46" s="86"/>
      <x:c r="AT46" s="86"/>
      <x:c r="AU46" s="86"/>
      <x:c r="AV46" s="90"/>
      <x:c r="AW46" s="86"/>
      <x:c r="AX46" s="88" t="str">
        <x:f>IF(B46="","",AV46*'Paramètres'!$B$4+AW46)</x:f>
      </x:c>
      <x:c r="AY46" s="25"/>
      <x:c r="AZ46" s="25"/>
      <x:c r="BA46" s="25"/>
    </x:row>
    <x:row r="47">
      <x:c r="A47" s="78" t="str">
        <x:f>IF(B47="","",ROW()-5)</x:f>
      </x:c>
      <x:c r="B47" s="80"/>
      <x:c r="C47" s="78" t="str">
        <x:f>IF(B47="","",YEAR(B47))</x:f>
      </x:c>
      <x:c r="D47" s="78" t="str">
        <x:f>IF(B47="","",CHOOSE(MONTH(B47),"Janvier","Février","Mars","Avril","Mai","Juin","Juillet","Août","Septembre","Octobre","Novembre","Décembre"))</x:f>
      </x:c>
      <x:c r="E47" s="78" t="str">
        <x:f>IF(B47="","",WEEKNUM(B47,2))</x:f>
      </x:c>
      <x:c r="F47" s="78" t="str">
        <x:f>IF(B47="","",CHOOSE(WEEKDAY(B47,2),"Lundi","Mardi","Mercredi","Jeudi","Vendredi","Samedi","Dimanche"))</x:f>
      </x:c>
      <x:c r="G47" s="82"/>
      <x:c r="H47" s="78" t="str">
        <x:f>IF(G47="","",IF(G47&lt;TIME(11,0,0),"Matin",IF(G47&lt;TIME(15,0,0),"Midi",IF(G47&lt;TIME(18,0,0),"Après-midi","Soir"))))</x:f>
      </x:c>
      <x:c r="I47" s="25"/>
      <x:c r="J47" s="25"/>
      <x:c r="K47" s="25"/>
      <x:c r="L47" s="25"/>
      <x:c r="M47" s="25"/>
      <x:c r="N47" s="25"/>
      <x:c r="O47" s="80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  <x:c r="AA47" s="25"/>
      <x:c r="AB47" s="25"/>
      <x:c r="AC47" s="92"/>
      <x:c r="AD47" s="92"/>
      <x:c r="AE47" s="92"/>
      <x:c r="AF47" s="92"/>
      <x:c r="AG47" s="92"/>
      <x:c r="AH47" s="92"/>
      <x:c r="AI47" s="92"/>
      <x:c r="AJ47" s="92"/>
      <x:c r="AK47" s="94" t="str">
        <x:f>IF(B47="","",SUM(AG47:AJ47))</x:f>
      </x:c>
      <x:c r="AL47" s="84" t="n">
        <x:f>IFERROR(AK47/AD47,0)</x:f>
        <x:v>0</x:v>
      </x:c>
      <x:c r="AM47" s="92"/>
      <x:c r="AN47" s="92"/>
      <x:c r="AO47" s="92"/>
      <x:c r="AP47" s="92"/>
      <x:c r="AQ47" s="25"/>
      <x:c r="AR47" s="25"/>
      <x:c r="AS47" s="86"/>
      <x:c r="AT47" s="86"/>
      <x:c r="AU47" s="86"/>
      <x:c r="AV47" s="90"/>
      <x:c r="AW47" s="86"/>
      <x:c r="AX47" s="88" t="str">
        <x:f>IF(B47="","",AV47*'Paramètres'!$B$4+AW47)</x:f>
      </x:c>
      <x:c r="AY47" s="25"/>
      <x:c r="AZ47" s="25"/>
      <x:c r="BA47" s="25"/>
    </x:row>
    <x:row r="48">
      <x:c r="A48" s="78" t="str">
        <x:f>IF(B48="","",ROW()-5)</x:f>
      </x:c>
      <x:c r="B48" s="80"/>
      <x:c r="C48" s="78" t="str">
        <x:f>IF(B48="","",YEAR(B48))</x:f>
      </x:c>
      <x:c r="D48" s="78" t="str">
        <x:f>IF(B48="","",CHOOSE(MONTH(B48),"Janvier","Février","Mars","Avril","Mai","Juin","Juillet","Août","Septembre","Octobre","Novembre","Décembre"))</x:f>
      </x:c>
      <x:c r="E48" s="78" t="str">
        <x:f>IF(B48="","",WEEKNUM(B48,2))</x:f>
      </x:c>
      <x:c r="F48" s="78" t="str">
        <x:f>IF(B48="","",CHOOSE(WEEKDAY(B48,2),"Lundi","Mardi","Mercredi","Jeudi","Vendredi","Samedi","Dimanche"))</x:f>
      </x:c>
      <x:c r="G48" s="82"/>
      <x:c r="H48" s="78" t="str">
        <x:f>IF(G48="","",IF(G48&lt;TIME(11,0,0),"Matin",IF(G48&lt;TIME(15,0,0),"Midi",IF(G48&lt;TIME(18,0,0),"Après-midi","Soir"))))</x:f>
      </x:c>
      <x:c r="I48" s="25"/>
      <x:c r="J48" s="25"/>
      <x:c r="K48" s="25"/>
      <x:c r="L48" s="25"/>
      <x:c r="M48" s="25"/>
      <x:c r="N48" s="25"/>
      <x:c r="O48" s="80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  <x:c r="AA48" s="25"/>
      <x:c r="AB48" s="25"/>
      <x:c r="AC48" s="92"/>
      <x:c r="AD48" s="92"/>
      <x:c r="AE48" s="92"/>
      <x:c r="AF48" s="92"/>
      <x:c r="AG48" s="92"/>
      <x:c r="AH48" s="92"/>
      <x:c r="AI48" s="92"/>
      <x:c r="AJ48" s="92"/>
      <x:c r="AK48" s="94" t="str">
        <x:f>IF(B48="","",SUM(AG48:AJ48))</x:f>
      </x:c>
      <x:c r="AL48" s="84" t="n">
        <x:f>IFERROR(AK48/AD48,0)</x:f>
        <x:v>0</x:v>
      </x:c>
      <x:c r="AM48" s="92"/>
      <x:c r="AN48" s="92"/>
      <x:c r="AO48" s="92"/>
      <x:c r="AP48" s="92"/>
      <x:c r="AQ48" s="25"/>
      <x:c r="AR48" s="25"/>
      <x:c r="AS48" s="86"/>
      <x:c r="AT48" s="86"/>
      <x:c r="AU48" s="86"/>
      <x:c r="AV48" s="90"/>
      <x:c r="AW48" s="86"/>
      <x:c r="AX48" s="88" t="str">
        <x:f>IF(B48="","",AV48*'Paramètres'!$B$4+AW48)</x:f>
      </x:c>
      <x:c r="AY48" s="25"/>
      <x:c r="AZ48" s="25"/>
      <x:c r="BA48" s="25"/>
    </x:row>
    <x:row r="49">
      <x:c r="A49" s="78" t="str">
        <x:f>IF(B49="","",ROW()-5)</x:f>
      </x:c>
      <x:c r="B49" s="80"/>
      <x:c r="C49" s="78" t="str">
        <x:f>IF(B49="","",YEAR(B49))</x:f>
      </x:c>
      <x:c r="D49" s="78" t="str">
        <x:f>IF(B49="","",CHOOSE(MONTH(B49),"Janvier","Février","Mars","Avril","Mai","Juin","Juillet","Août","Septembre","Octobre","Novembre","Décembre"))</x:f>
      </x:c>
      <x:c r="E49" s="78" t="str">
        <x:f>IF(B49="","",WEEKNUM(B49,2))</x:f>
      </x:c>
      <x:c r="F49" s="78" t="str">
        <x:f>IF(B49="","",CHOOSE(WEEKDAY(B49,2),"Lundi","Mardi","Mercredi","Jeudi","Vendredi","Samedi","Dimanche"))</x:f>
      </x:c>
      <x:c r="G49" s="82"/>
      <x:c r="H49" s="78" t="str">
        <x:f>IF(G49="","",IF(G49&lt;TIME(11,0,0),"Matin",IF(G49&lt;TIME(15,0,0),"Midi",IF(G49&lt;TIME(18,0,0),"Après-midi","Soir"))))</x:f>
      </x:c>
      <x:c r="I49" s="25"/>
      <x:c r="J49" s="25"/>
      <x:c r="K49" s="25"/>
      <x:c r="L49" s="25"/>
      <x:c r="M49" s="25"/>
      <x:c r="N49" s="25"/>
      <x:c r="O49" s="80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  <x:c r="AA49" s="25"/>
      <x:c r="AB49" s="25"/>
      <x:c r="AC49" s="92"/>
      <x:c r="AD49" s="92"/>
      <x:c r="AE49" s="92"/>
      <x:c r="AF49" s="92"/>
      <x:c r="AG49" s="92"/>
      <x:c r="AH49" s="92"/>
      <x:c r="AI49" s="92"/>
      <x:c r="AJ49" s="92"/>
      <x:c r="AK49" s="94" t="str">
        <x:f>IF(B49="","",SUM(AG49:AJ49))</x:f>
      </x:c>
      <x:c r="AL49" s="84" t="n">
        <x:f>IFERROR(AK49/AD49,0)</x:f>
        <x:v>0</x:v>
      </x:c>
      <x:c r="AM49" s="92"/>
      <x:c r="AN49" s="92"/>
      <x:c r="AO49" s="92"/>
      <x:c r="AP49" s="92"/>
      <x:c r="AQ49" s="25"/>
      <x:c r="AR49" s="25"/>
      <x:c r="AS49" s="86"/>
      <x:c r="AT49" s="86"/>
      <x:c r="AU49" s="86"/>
      <x:c r="AV49" s="90"/>
      <x:c r="AW49" s="86"/>
      <x:c r="AX49" s="88" t="str">
        <x:f>IF(B49="","",AV49*'Paramètres'!$B$4+AW49)</x:f>
      </x:c>
      <x:c r="AY49" s="25"/>
      <x:c r="AZ49" s="25"/>
      <x:c r="BA49" s="25"/>
    </x:row>
    <x:row r="50">
      <x:c r="A50" s="78" t="str">
        <x:f>IF(B50="","",ROW()-5)</x:f>
      </x:c>
      <x:c r="B50" s="80"/>
      <x:c r="C50" s="78" t="str">
        <x:f>IF(B50="","",YEAR(B50))</x:f>
      </x:c>
      <x:c r="D50" s="78" t="str">
        <x:f>IF(B50="","",CHOOSE(MONTH(B50),"Janvier","Février","Mars","Avril","Mai","Juin","Juillet","Août","Septembre","Octobre","Novembre","Décembre"))</x:f>
      </x:c>
      <x:c r="E50" s="78" t="str">
        <x:f>IF(B50="","",WEEKNUM(B50,2))</x:f>
      </x:c>
      <x:c r="F50" s="78" t="str">
        <x:f>IF(B50="","",CHOOSE(WEEKDAY(B50,2),"Lundi","Mardi","Mercredi","Jeudi","Vendredi","Samedi","Dimanche"))</x:f>
      </x:c>
      <x:c r="G50" s="82"/>
      <x:c r="H50" s="78" t="str">
        <x:f>IF(G50="","",IF(G50&lt;TIME(11,0,0),"Matin",IF(G50&lt;TIME(15,0,0),"Midi",IF(G50&lt;TIME(18,0,0),"Après-midi","Soir"))))</x:f>
      </x:c>
      <x:c r="I50" s="25"/>
      <x:c r="J50" s="25"/>
      <x:c r="K50" s="25"/>
      <x:c r="L50" s="25"/>
      <x:c r="M50" s="25"/>
      <x:c r="N50" s="25"/>
      <x:c r="O50" s="80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  <x:c r="AA50" s="25"/>
      <x:c r="AB50" s="25"/>
      <x:c r="AC50" s="92"/>
      <x:c r="AD50" s="92"/>
      <x:c r="AE50" s="92"/>
      <x:c r="AF50" s="92"/>
      <x:c r="AG50" s="92"/>
      <x:c r="AH50" s="92"/>
      <x:c r="AI50" s="92"/>
      <x:c r="AJ50" s="92"/>
      <x:c r="AK50" s="94" t="str">
        <x:f>IF(B50="","",SUM(AG50:AJ50))</x:f>
      </x:c>
      <x:c r="AL50" s="84" t="n">
        <x:f>IFERROR(AK50/AD50,0)</x:f>
        <x:v>0</x:v>
      </x:c>
      <x:c r="AM50" s="92"/>
      <x:c r="AN50" s="92"/>
      <x:c r="AO50" s="92"/>
      <x:c r="AP50" s="92"/>
      <x:c r="AQ50" s="25"/>
      <x:c r="AR50" s="25"/>
      <x:c r="AS50" s="86"/>
      <x:c r="AT50" s="86"/>
      <x:c r="AU50" s="86"/>
      <x:c r="AV50" s="90"/>
      <x:c r="AW50" s="86"/>
      <x:c r="AX50" s="88" t="str">
        <x:f>IF(B50="","",AV50*'Paramètres'!$B$4+AW50)</x:f>
      </x:c>
      <x:c r="AY50" s="25"/>
      <x:c r="AZ50" s="25"/>
      <x:c r="BA50" s="25"/>
    </x:row>
    <x:row r="51">
      <x:c r="A51" s="78" t="str">
        <x:f>IF(B51="","",ROW()-5)</x:f>
      </x:c>
      <x:c r="B51" s="80"/>
      <x:c r="C51" s="78" t="str">
        <x:f>IF(B51="","",YEAR(B51))</x:f>
      </x:c>
      <x:c r="D51" s="78" t="str">
        <x:f>IF(B51="","",CHOOSE(MONTH(B51),"Janvier","Février","Mars","Avril","Mai","Juin","Juillet","Août","Septembre","Octobre","Novembre","Décembre"))</x:f>
      </x:c>
      <x:c r="E51" s="78" t="str">
        <x:f>IF(B51="","",WEEKNUM(B51,2))</x:f>
      </x:c>
      <x:c r="F51" s="78" t="str">
        <x:f>IF(B51="","",CHOOSE(WEEKDAY(B51,2),"Lundi","Mardi","Mercredi","Jeudi","Vendredi","Samedi","Dimanche"))</x:f>
      </x:c>
      <x:c r="G51" s="82"/>
      <x:c r="H51" s="78" t="str">
        <x:f>IF(G51="","",IF(G51&lt;TIME(11,0,0),"Matin",IF(G51&lt;TIME(15,0,0),"Midi",IF(G51&lt;TIME(18,0,0),"Après-midi","Soir"))))</x:f>
      </x:c>
      <x:c r="I51" s="25"/>
      <x:c r="J51" s="25"/>
      <x:c r="K51" s="25"/>
      <x:c r="L51" s="25"/>
      <x:c r="M51" s="25"/>
      <x:c r="N51" s="25"/>
      <x:c r="O51" s="80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  <x:c r="AA51" s="25"/>
      <x:c r="AB51" s="25"/>
      <x:c r="AC51" s="92"/>
      <x:c r="AD51" s="92"/>
      <x:c r="AE51" s="92"/>
      <x:c r="AF51" s="92"/>
      <x:c r="AG51" s="92"/>
      <x:c r="AH51" s="92"/>
      <x:c r="AI51" s="92"/>
      <x:c r="AJ51" s="92"/>
      <x:c r="AK51" s="94" t="str">
        <x:f>IF(B51="","",SUM(AG51:AJ51))</x:f>
      </x:c>
      <x:c r="AL51" s="84" t="n">
        <x:f>IFERROR(AK51/AD51,0)</x:f>
        <x:v>0</x:v>
      </x:c>
      <x:c r="AM51" s="92"/>
      <x:c r="AN51" s="92"/>
      <x:c r="AO51" s="92"/>
      <x:c r="AP51" s="92"/>
      <x:c r="AQ51" s="25"/>
      <x:c r="AR51" s="25"/>
      <x:c r="AS51" s="86"/>
      <x:c r="AT51" s="86"/>
      <x:c r="AU51" s="86"/>
      <x:c r="AV51" s="90"/>
      <x:c r="AW51" s="86"/>
      <x:c r="AX51" s="88" t="str">
        <x:f>IF(B51="","",AV51*'Paramètres'!$B$4+AW51)</x:f>
      </x:c>
      <x:c r="AY51" s="25"/>
      <x:c r="AZ51" s="25"/>
      <x:c r="BA51" s="25"/>
    </x:row>
    <x:row r="52">
      <x:c r="A52" s="78" t="str">
        <x:f>IF(B52="","",ROW()-5)</x:f>
      </x:c>
      <x:c r="B52" s="80"/>
      <x:c r="C52" s="78" t="str">
        <x:f>IF(B52="","",YEAR(B52))</x:f>
      </x:c>
      <x:c r="D52" s="78" t="str">
        <x:f>IF(B52="","",CHOOSE(MONTH(B52),"Janvier","Février","Mars","Avril","Mai","Juin","Juillet","Août","Septembre","Octobre","Novembre","Décembre"))</x:f>
      </x:c>
      <x:c r="E52" s="78" t="str">
        <x:f>IF(B52="","",WEEKNUM(B52,2))</x:f>
      </x:c>
      <x:c r="F52" s="78" t="str">
        <x:f>IF(B52="","",CHOOSE(WEEKDAY(B52,2),"Lundi","Mardi","Mercredi","Jeudi","Vendredi","Samedi","Dimanche"))</x:f>
      </x:c>
      <x:c r="G52" s="82"/>
      <x:c r="H52" s="78" t="str">
        <x:f>IF(G52="","",IF(G52&lt;TIME(11,0,0),"Matin",IF(G52&lt;TIME(15,0,0),"Midi",IF(G52&lt;TIME(18,0,0),"Après-midi","Soir"))))</x:f>
      </x:c>
      <x:c r="I52" s="25"/>
      <x:c r="J52" s="25"/>
      <x:c r="K52" s="25"/>
      <x:c r="L52" s="25"/>
      <x:c r="M52" s="25"/>
      <x:c r="N52" s="25"/>
      <x:c r="O52" s="80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  <x:c r="AA52" s="25"/>
      <x:c r="AB52" s="25"/>
      <x:c r="AC52" s="92"/>
      <x:c r="AD52" s="92"/>
      <x:c r="AE52" s="92"/>
      <x:c r="AF52" s="92"/>
      <x:c r="AG52" s="92"/>
      <x:c r="AH52" s="92"/>
      <x:c r="AI52" s="92"/>
      <x:c r="AJ52" s="92"/>
      <x:c r="AK52" s="94" t="str">
        <x:f>IF(B52="","",SUM(AG52:AJ52))</x:f>
      </x:c>
      <x:c r="AL52" s="84" t="n">
        <x:f>IFERROR(AK52/AD52,0)</x:f>
        <x:v>0</x:v>
      </x:c>
      <x:c r="AM52" s="92"/>
      <x:c r="AN52" s="92"/>
      <x:c r="AO52" s="92"/>
      <x:c r="AP52" s="92"/>
      <x:c r="AQ52" s="25"/>
      <x:c r="AR52" s="25"/>
      <x:c r="AS52" s="86"/>
      <x:c r="AT52" s="86"/>
      <x:c r="AU52" s="86"/>
      <x:c r="AV52" s="90"/>
      <x:c r="AW52" s="86"/>
      <x:c r="AX52" s="88" t="str">
        <x:f>IF(B52="","",AV52*'Paramètres'!$B$4+AW52)</x:f>
      </x:c>
      <x:c r="AY52" s="25"/>
      <x:c r="AZ52" s="25"/>
      <x:c r="BA52" s="25"/>
    </x:row>
    <x:row r="53">
      <x:c r="A53" s="78" t="str">
        <x:f>IF(B53="","",ROW()-5)</x:f>
      </x:c>
      <x:c r="B53" s="80"/>
      <x:c r="C53" s="78" t="str">
        <x:f>IF(B53="","",YEAR(B53))</x:f>
      </x:c>
      <x:c r="D53" s="78" t="str">
        <x:f>IF(B53="","",CHOOSE(MONTH(B53),"Janvier","Février","Mars","Avril","Mai","Juin","Juillet","Août","Septembre","Octobre","Novembre","Décembre"))</x:f>
      </x:c>
      <x:c r="E53" s="78" t="str">
        <x:f>IF(B53="","",WEEKNUM(B53,2))</x:f>
      </x:c>
      <x:c r="F53" s="78" t="str">
        <x:f>IF(B53="","",CHOOSE(WEEKDAY(B53,2),"Lundi","Mardi","Mercredi","Jeudi","Vendredi","Samedi","Dimanche"))</x:f>
      </x:c>
      <x:c r="G53" s="82"/>
      <x:c r="H53" s="78" t="str">
        <x:f>IF(G53="","",IF(G53&lt;TIME(11,0,0),"Matin",IF(G53&lt;TIME(15,0,0),"Midi",IF(G53&lt;TIME(18,0,0),"Après-midi","Soir"))))</x:f>
      </x:c>
      <x:c r="I53" s="25"/>
      <x:c r="J53" s="25"/>
      <x:c r="K53" s="25"/>
      <x:c r="L53" s="25"/>
      <x:c r="M53" s="25"/>
      <x:c r="N53" s="25"/>
      <x:c r="O53" s="80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  <x:c r="AA53" s="25"/>
      <x:c r="AB53" s="25"/>
      <x:c r="AC53" s="92"/>
      <x:c r="AD53" s="92"/>
      <x:c r="AE53" s="92"/>
      <x:c r="AF53" s="92"/>
      <x:c r="AG53" s="92"/>
      <x:c r="AH53" s="92"/>
      <x:c r="AI53" s="92"/>
      <x:c r="AJ53" s="92"/>
      <x:c r="AK53" s="94" t="str">
        <x:f>IF(B53="","",SUM(AG53:AJ53))</x:f>
      </x:c>
      <x:c r="AL53" s="84" t="n">
        <x:f>IFERROR(AK53/AD53,0)</x:f>
        <x:v>0</x:v>
      </x:c>
      <x:c r="AM53" s="92"/>
      <x:c r="AN53" s="92"/>
      <x:c r="AO53" s="92"/>
      <x:c r="AP53" s="92"/>
      <x:c r="AQ53" s="25"/>
      <x:c r="AR53" s="25"/>
      <x:c r="AS53" s="86"/>
      <x:c r="AT53" s="86"/>
      <x:c r="AU53" s="86"/>
      <x:c r="AV53" s="90"/>
      <x:c r="AW53" s="86"/>
      <x:c r="AX53" s="88" t="str">
        <x:f>IF(B53="","",AV53*'Paramètres'!$B$4+AW53)</x:f>
      </x:c>
      <x:c r="AY53" s="25"/>
      <x:c r="AZ53" s="25"/>
      <x:c r="BA53" s="25"/>
    </x:row>
    <x:row r="54">
      <x:c r="A54" s="78" t="str">
        <x:f>IF(B54="","",ROW()-5)</x:f>
      </x:c>
      <x:c r="B54" s="80"/>
      <x:c r="C54" s="78" t="str">
        <x:f>IF(B54="","",YEAR(B54))</x:f>
      </x:c>
      <x:c r="D54" s="78" t="str">
        <x:f>IF(B54="","",CHOOSE(MONTH(B54),"Janvier","Février","Mars","Avril","Mai","Juin","Juillet","Août","Septembre","Octobre","Novembre","Décembre"))</x:f>
      </x:c>
      <x:c r="E54" s="78" t="str">
        <x:f>IF(B54="","",WEEKNUM(B54,2))</x:f>
      </x:c>
      <x:c r="F54" s="78" t="str">
        <x:f>IF(B54="","",CHOOSE(WEEKDAY(B54,2),"Lundi","Mardi","Mercredi","Jeudi","Vendredi","Samedi","Dimanche"))</x:f>
      </x:c>
      <x:c r="G54" s="82"/>
      <x:c r="H54" s="78" t="str">
        <x:f>IF(G54="","",IF(G54&lt;TIME(11,0,0),"Matin",IF(G54&lt;TIME(15,0,0),"Midi",IF(G54&lt;TIME(18,0,0),"Après-midi","Soir"))))</x:f>
      </x:c>
      <x:c r="I54" s="25"/>
      <x:c r="J54" s="25"/>
      <x:c r="K54" s="25"/>
      <x:c r="L54" s="25"/>
      <x:c r="M54" s="25"/>
      <x:c r="N54" s="25"/>
      <x:c r="O54" s="80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  <x:c r="AA54" s="25"/>
      <x:c r="AB54" s="25"/>
      <x:c r="AC54" s="92"/>
      <x:c r="AD54" s="92"/>
      <x:c r="AE54" s="92"/>
      <x:c r="AF54" s="92"/>
      <x:c r="AG54" s="92"/>
      <x:c r="AH54" s="92"/>
      <x:c r="AI54" s="92"/>
      <x:c r="AJ54" s="92"/>
      <x:c r="AK54" s="94" t="str">
        <x:f>IF(B54="","",SUM(AG54:AJ54))</x:f>
      </x:c>
      <x:c r="AL54" s="84" t="n">
        <x:f>IFERROR(AK54/AD54,0)</x:f>
        <x:v>0</x:v>
      </x:c>
      <x:c r="AM54" s="92"/>
      <x:c r="AN54" s="92"/>
      <x:c r="AO54" s="92"/>
      <x:c r="AP54" s="92"/>
      <x:c r="AQ54" s="25"/>
      <x:c r="AR54" s="25"/>
      <x:c r="AS54" s="86"/>
      <x:c r="AT54" s="86"/>
      <x:c r="AU54" s="86"/>
      <x:c r="AV54" s="90"/>
      <x:c r="AW54" s="86"/>
      <x:c r="AX54" s="88" t="str">
        <x:f>IF(B54="","",AV54*'Paramètres'!$B$4+AW54)</x:f>
      </x:c>
      <x:c r="AY54" s="25"/>
      <x:c r="AZ54" s="25"/>
      <x:c r="BA54" s="25"/>
    </x:row>
    <x:row r="55">
      <x:c r="A55" s="78" t="str">
        <x:f>IF(B55="","",ROW()-5)</x:f>
      </x:c>
      <x:c r="B55" s="80"/>
      <x:c r="C55" s="78" t="str">
        <x:f>IF(B55="","",YEAR(B55))</x:f>
      </x:c>
      <x:c r="D55" s="78" t="str">
        <x:f>IF(B55="","",CHOOSE(MONTH(B55),"Janvier","Février","Mars","Avril","Mai","Juin","Juillet","Août","Septembre","Octobre","Novembre","Décembre"))</x:f>
      </x:c>
      <x:c r="E55" s="78" t="str">
        <x:f>IF(B55="","",WEEKNUM(B55,2))</x:f>
      </x:c>
      <x:c r="F55" s="78" t="str">
        <x:f>IF(B55="","",CHOOSE(WEEKDAY(B55,2),"Lundi","Mardi","Mercredi","Jeudi","Vendredi","Samedi","Dimanche"))</x:f>
      </x:c>
      <x:c r="G55" s="82"/>
      <x:c r="H55" s="78" t="str">
        <x:f>IF(G55="","",IF(G55&lt;TIME(11,0,0),"Matin",IF(G55&lt;TIME(15,0,0),"Midi",IF(G55&lt;TIME(18,0,0),"Après-midi","Soir"))))</x:f>
      </x:c>
      <x:c r="I55" s="25"/>
      <x:c r="J55" s="25"/>
      <x:c r="K55" s="25"/>
      <x:c r="L55" s="25"/>
      <x:c r="M55" s="25"/>
      <x:c r="N55" s="25"/>
      <x:c r="O55" s="80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  <x:c r="AA55" s="25"/>
      <x:c r="AB55" s="25"/>
      <x:c r="AC55" s="92"/>
      <x:c r="AD55" s="92"/>
      <x:c r="AE55" s="92"/>
      <x:c r="AF55" s="92"/>
      <x:c r="AG55" s="92"/>
      <x:c r="AH55" s="92"/>
      <x:c r="AI55" s="92"/>
      <x:c r="AJ55" s="92"/>
      <x:c r="AK55" s="94" t="str">
        <x:f>IF(B55="","",SUM(AG55:AJ55))</x:f>
      </x:c>
      <x:c r="AL55" s="84" t="n">
        <x:f>IFERROR(AK55/AD55,0)</x:f>
        <x:v>0</x:v>
      </x:c>
      <x:c r="AM55" s="92"/>
      <x:c r="AN55" s="92"/>
      <x:c r="AO55" s="92"/>
      <x:c r="AP55" s="92"/>
      <x:c r="AQ55" s="25"/>
      <x:c r="AR55" s="25"/>
      <x:c r="AS55" s="86"/>
      <x:c r="AT55" s="86"/>
      <x:c r="AU55" s="86"/>
      <x:c r="AV55" s="90"/>
      <x:c r="AW55" s="86"/>
      <x:c r="AX55" s="88" t="str">
        <x:f>IF(B55="","",AV55*'Paramètres'!$B$4+AW55)</x:f>
      </x:c>
      <x:c r="AY55" s="25"/>
      <x:c r="AZ55" s="25"/>
      <x:c r="BA55" s="25"/>
    </x:row>
    <x:row r="56">
      <x:c r="A56" s="78" t="str">
        <x:f>IF(B56="","",ROW()-5)</x:f>
      </x:c>
      <x:c r="B56" s="80"/>
      <x:c r="C56" s="78" t="str">
        <x:f>IF(B56="","",YEAR(B56))</x:f>
      </x:c>
      <x:c r="D56" s="78" t="str">
        <x:f>IF(B56="","",CHOOSE(MONTH(B56),"Janvier","Février","Mars","Avril","Mai","Juin","Juillet","Août","Septembre","Octobre","Novembre","Décembre"))</x:f>
      </x:c>
      <x:c r="E56" s="78" t="str">
        <x:f>IF(B56="","",WEEKNUM(B56,2))</x:f>
      </x:c>
      <x:c r="F56" s="78" t="str">
        <x:f>IF(B56="","",CHOOSE(WEEKDAY(B56,2),"Lundi","Mardi","Mercredi","Jeudi","Vendredi","Samedi","Dimanche"))</x:f>
      </x:c>
      <x:c r="G56" s="82"/>
      <x:c r="H56" s="78" t="str">
        <x:f>IF(G56="","",IF(G56&lt;TIME(11,0,0),"Matin",IF(G56&lt;TIME(15,0,0),"Midi",IF(G56&lt;TIME(18,0,0),"Après-midi","Soir"))))</x:f>
      </x:c>
      <x:c r="I56" s="25"/>
      <x:c r="J56" s="25"/>
      <x:c r="K56" s="25"/>
      <x:c r="L56" s="25"/>
      <x:c r="M56" s="25"/>
      <x:c r="N56" s="25"/>
      <x:c r="O56" s="80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  <x:c r="AA56" s="25"/>
      <x:c r="AB56" s="25"/>
      <x:c r="AC56" s="92"/>
      <x:c r="AD56" s="92"/>
      <x:c r="AE56" s="92"/>
      <x:c r="AF56" s="92"/>
      <x:c r="AG56" s="92"/>
      <x:c r="AH56" s="92"/>
      <x:c r="AI56" s="92"/>
      <x:c r="AJ56" s="92"/>
      <x:c r="AK56" s="94" t="str">
        <x:f>IF(B56="","",SUM(AG56:AJ56))</x:f>
      </x:c>
      <x:c r="AL56" s="84" t="n">
        <x:f>IFERROR(AK56/AD56,0)</x:f>
        <x:v>0</x:v>
      </x:c>
      <x:c r="AM56" s="92"/>
      <x:c r="AN56" s="92"/>
      <x:c r="AO56" s="92"/>
      <x:c r="AP56" s="92"/>
      <x:c r="AQ56" s="25"/>
      <x:c r="AR56" s="25"/>
      <x:c r="AS56" s="86"/>
      <x:c r="AT56" s="86"/>
      <x:c r="AU56" s="86"/>
      <x:c r="AV56" s="90"/>
      <x:c r="AW56" s="86"/>
      <x:c r="AX56" s="88" t="str">
        <x:f>IF(B56="","",AV56*'Paramètres'!$B$4+AW56)</x:f>
      </x:c>
      <x:c r="AY56" s="25"/>
      <x:c r="AZ56" s="25"/>
      <x:c r="BA56" s="25"/>
    </x:row>
    <x:row r="57">
      <x:c r="A57" s="78" t="str">
        <x:f>IF(B57="","",ROW()-5)</x:f>
      </x:c>
      <x:c r="B57" s="80"/>
      <x:c r="C57" s="78" t="str">
        <x:f>IF(B57="","",YEAR(B57))</x:f>
      </x:c>
      <x:c r="D57" s="78" t="str">
        <x:f>IF(B57="","",CHOOSE(MONTH(B57),"Janvier","Février","Mars","Avril","Mai","Juin","Juillet","Août","Septembre","Octobre","Novembre","Décembre"))</x:f>
      </x:c>
      <x:c r="E57" s="78" t="str">
        <x:f>IF(B57="","",WEEKNUM(B57,2))</x:f>
      </x:c>
      <x:c r="F57" s="78" t="str">
        <x:f>IF(B57="","",CHOOSE(WEEKDAY(B57,2),"Lundi","Mardi","Mercredi","Jeudi","Vendredi","Samedi","Dimanche"))</x:f>
      </x:c>
      <x:c r="G57" s="82"/>
      <x:c r="H57" s="78" t="str">
        <x:f>IF(G57="","",IF(G57&lt;TIME(11,0,0),"Matin",IF(G57&lt;TIME(15,0,0),"Midi",IF(G57&lt;TIME(18,0,0),"Après-midi","Soir"))))</x:f>
      </x:c>
      <x:c r="I57" s="25"/>
      <x:c r="J57" s="25"/>
      <x:c r="K57" s="25"/>
      <x:c r="L57" s="25"/>
      <x:c r="M57" s="25"/>
      <x:c r="N57" s="25"/>
      <x:c r="O57" s="80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  <x:c r="AA57" s="25"/>
      <x:c r="AB57" s="25"/>
      <x:c r="AC57" s="92"/>
      <x:c r="AD57" s="92"/>
      <x:c r="AE57" s="92"/>
      <x:c r="AF57" s="92"/>
      <x:c r="AG57" s="92"/>
      <x:c r="AH57" s="92"/>
      <x:c r="AI57" s="92"/>
      <x:c r="AJ57" s="92"/>
      <x:c r="AK57" s="94" t="str">
        <x:f>IF(B57="","",SUM(AG57:AJ57))</x:f>
      </x:c>
      <x:c r="AL57" s="84" t="n">
        <x:f>IFERROR(AK57/AD57,0)</x:f>
        <x:v>0</x:v>
      </x:c>
      <x:c r="AM57" s="92"/>
      <x:c r="AN57" s="92"/>
      <x:c r="AO57" s="92"/>
      <x:c r="AP57" s="92"/>
      <x:c r="AQ57" s="25"/>
      <x:c r="AR57" s="25"/>
      <x:c r="AS57" s="86"/>
      <x:c r="AT57" s="86"/>
      <x:c r="AU57" s="86"/>
      <x:c r="AV57" s="90"/>
      <x:c r="AW57" s="86"/>
      <x:c r="AX57" s="88" t="str">
        <x:f>IF(B57="","",AV57*'Paramètres'!$B$4+AW57)</x:f>
      </x:c>
      <x:c r="AY57" s="25"/>
      <x:c r="AZ57" s="25"/>
      <x:c r="BA57" s="25"/>
    </x:row>
    <x:row r="58">
      <x:c r="A58" s="78" t="str">
        <x:f>IF(B58="","",ROW()-5)</x:f>
      </x:c>
      <x:c r="B58" s="80"/>
      <x:c r="C58" s="78" t="str">
        <x:f>IF(B58="","",YEAR(B58))</x:f>
      </x:c>
      <x:c r="D58" s="78" t="str">
        <x:f>IF(B58="","",CHOOSE(MONTH(B58),"Janvier","Février","Mars","Avril","Mai","Juin","Juillet","Août","Septembre","Octobre","Novembre","Décembre"))</x:f>
      </x:c>
      <x:c r="E58" s="78" t="str">
        <x:f>IF(B58="","",WEEKNUM(B58,2))</x:f>
      </x:c>
      <x:c r="F58" s="78" t="str">
        <x:f>IF(B58="","",CHOOSE(WEEKDAY(B58,2),"Lundi","Mardi","Mercredi","Jeudi","Vendredi","Samedi","Dimanche"))</x:f>
      </x:c>
      <x:c r="G58" s="82"/>
      <x:c r="H58" s="78" t="str">
        <x:f>IF(G58="","",IF(G58&lt;TIME(11,0,0),"Matin",IF(G58&lt;TIME(15,0,0),"Midi",IF(G58&lt;TIME(18,0,0),"Après-midi","Soir"))))</x:f>
      </x:c>
      <x:c r="I58" s="25"/>
      <x:c r="J58" s="25"/>
      <x:c r="K58" s="25"/>
      <x:c r="L58" s="25"/>
      <x:c r="M58" s="25"/>
      <x:c r="N58" s="25"/>
      <x:c r="O58" s="80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  <x:c r="AA58" s="25"/>
      <x:c r="AB58" s="25"/>
      <x:c r="AC58" s="92"/>
      <x:c r="AD58" s="92"/>
      <x:c r="AE58" s="92"/>
      <x:c r="AF58" s="92"/>
      <x:c r="AG58" s="92"/>
      <x:c r="AH58" s="92"/>
      <x:c r="AI58" s="92"/>
      <x:c r="AJ58" s="92"/>
      <x:c r="AK58" s="94" t="str">
        <x:f>IF(B58="","",SUM(AG58:AJ58))</x:f>
      </x:c>
      <x:c r="AL58" s="84" t="n">
        <x:f>IFERROR(AK58/AD58,0)</x:f>
        <x:v>0</x:v>
      </x:c>
      <x:c r="AM58" s="92"/>
      <x:c r="AN58" s="92"/>
      <x:c r="AO58" s="92"/>
      <x:c r="AP58" s="92"/>
      <x:c r="AQ58" s="25"/>
      <x:c r="AR58" s="25"/>
      <x:c r="AS58" s="86"/>
      <x:c r="AT58" s="86"/>
      <x:c r="AU58" s="86"/>
      <x:c r="AV58" s="90"/>
      <x:c r="AW58" s="86"/>
      <x:c r="AX58" s="88" t="str">
        <x:f>IF(B58="","",AV58*'Paramètres'!$B$4+AW58)</x:f>
      </x:c>
      <x:c r="AY58" s="25"/>
      <x:c r="AZ58" s="25"/>
      <x:c r="BA58" s="25"/>
    </x:row>
    <x:row r="59">
      <x:c r="A59" s="78" t="str">
        <x:f>IF(B59="","",ROW()-5)</x:f>
      </x:c>
      <x:c r="B59" s="80"/>
      <x:c r="C59" s="78" t="str">
        <x:f>IF(B59="","",YEAR(B59))</x:f>
      </x:c>
      <x:c r="D59" s="78" t="str">
        <x:f>IF(B59="","",CHOOSE(MONTH(B59),"Janvier","Février","Mars","Avril","Mai","Juin","Juillet","Août","Septembre","Octobre","Novembre","Décembre"))</x:f>
      </x:c>
      <x:c r="E59" s="78" t="str">
        <x:f>IF(B59="","",WEEKNUM(B59,2))</x:f>
      </x:c>
      <x:c r="F59" s="78" t="str">
        <x:f>IF(B59="","",CHOOSE(WEEKDAY(B59,2),"Lundi","Mardi","Mercredi","Jeudi","Vendredi","Samedi","Dimanche"))</x:f>
      </x:c>
      <x:c r="G59" s="82"/>
      <x:c r="H59" s="78" t="str">
        <x:f>IF(G59="","",IF(G59&lt;TIME(11,0,0),"Matin",IF(G59&lt;TIME(15,0,0),"Midi",IF(G59&lt;TIME(18,0,0),"Après-midi","Soir"))))</x:f>
      </x:c>
      <x:c r="I59" s="25"/>
      <x:c r="J59" s="25"/>
      <x:c r="K59" s="25"/>
      <x:c r="L59" s="25"/>
      <x:c r="M59" s="25"/>
      <x:c r="N59" s="25"/>
      <x:c r="O59" s="80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  <x:c r="AA59" s="25"/>
      <x:c r="AB59" s="25"/>
      <x:c r="AC59" s="92"/>
      <x:c r="AD59" s="92"/>
      <x:c r="AE59" s="92"/>
      <x:c r="AF59" s="92"/>
      <x:c r="AG59" s="92"/>
      <x:c r="AH59" s="92"/>
      <x:c r="AI59" s="92"/>
      <x:c r="AJ59" s="92"/>
      <x:c r="AK59" s="94" t="str">
        <x:f>IF(B59="","",SUM(AG59:AJ59))</x:f>
      </x:c>
      <x:c r="AL59" s="84" t="n">
        <x:f>IFERROR(AK59/AD59,0)</x:f>
        <x:v>0</x:v>
      </x:c>
      <x:c r="AM59" s="92"/>
      <x:c r="AN59" s="92"/>
      <x:c r="AO59" s="92"/>
      <x:c r="AP59" s="92"/>
      <x:c r="AQ59" s="25"/>
      <x:c r="AR59" s="25"/>
      <x:c r="AS59" s="86"/>
      <x:c r="AT59" s="86"/>
      <x:c r="AU59" s="86"/>
      <x:c r="AV59" s="90"/>
      <x:c r="AW59" s="86"/>
      <x:c r="AX59" s="88" t="str">
        <x:f>IF(B59="","",AV59*'Paramètres'!$B$4+AW59)</x:f>
      </x:c>
      <x:c r="AY59" s="25"/>
      <x:c r="AZ59" s="25"/>
      <x:c r="BA59" s="25"/>
    </x:row>
    <x:row r="60">
      <x:c r="A60" s="78" t="str">
        <x:f>IF(B60="","",ROW()-5)</x:f>
      </x:c>
      <x:c r="B60" s="80"/>
      <x:c r="C60" s="78" t="str">
        <x:f>IF(B60="","",YEAR(B60))</x:f>
      </x:c>
      <x:c r="D60" s="78" t="str">
        <x:f>IF(B60="","",CHOOSE(MONTH(B60),"Janvier","Février","Mars","Avril","Mai","Juin","Juillet","Août","Septembre","Octobre","Novembre","Décembre"))</x:f>
      </x:c>
      <x:c r="E60" s="78" t="str">
        <x:f>IF(B60="","",WEEKNUM(B60,2))</x:f>
      </x:c>
      <x:c r="F60" s="78" t="str">
        <x:f>IF(B60="","",CHOOSE(WEEKDAY(B60,2),"Lundi","Mardi","Mercredi","Jeudi","Vendredi","Samedi","Dimanche"))</x:f>
      </x:c>
      <x:c r="G60" s="82"/>
      <x:c r="H60" s="78" t="str">
        <x:f>IF(G60="","",IF(G60&lt;TIME(11,0,0),"Matin",IF(G60&lt;TIME(15,0,0),"Midi",IF(G60&lt;TIME(18,0,0),"Après-midi","Soir"))))</x:f>
      </x:c>
      <x:c r="I60" s="25"/>
      <x:c r="J60" s="25"/>
      <x:c r="K60" s="25"/>
      <x:c r="L60" s="25"/>
      <x:c r="M60" s="25"/>
      <x:c r="N60" s="25"/>
      <x:c r="O60" s="80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  <x:c r="AA60" s="25"/>
      <x:c r="AB60" s="25"/>
      <x:c r="AC60" s="92"/>
      <x:c r="AD60" s="92"/>
      <x:c r="AE60" s="92"/>
      <x:c r="AF60" s="92"/>
      <x:c r="AG60" s="92"/>
      <x:c r="AH60" s="92"/>
      <x:c r="AI60" s="92"/>
      <x:c r="AJ60" s="92"/>
      <x:c r="AK60" s="94" t="str">
        <x:f>IF(B60="","",SUM(AG60:AJ60))</x:f>
      </x:c>
      <x:c r="AL60" s="84" t="n">
        <x:f>IFERROR(AK60/AD60,0)</x:f>
        <x:v>0</x:v>
      </x:c>
      <x:c r="AM60" s="92"/>
      <x:c r="AN60" s="92"/>
      <x:c r="AO60" s="92"/>
      <x:c r="AP60" s="92"/>
      <x:c r="AQ60" s="25"/>
      <x:c r="AR60" s="25"/>
      <x:c r="AS60" s="86"/>
      <x:c r="AT60" s="86"/>
      <x:c r="AU60" s="86"/>
      <x:c r="AV60" s="90"/>
      <x:c r="AW60" s="86"/>
      <x:c r="AX60" s="88" t="str">
        <x:f>IF(B60="","",AV60*'Paramètres'!$B$4+AW60)</x:f>
      </x:c>
      <x:c r="AY60" s="25"/>
      <x:c r="AZ60" s="25"/>
      <x:c r="BA60" s="25"/>
    </x:row>
    <x:row r="61">
      <x:c r="A61" s="78" t="str">
        <x:f>IF(B61="","",ROW()-5)</x:f>
      </x:c>
      <x:c r="B61" s="80"/>
      <x:c r="C61" s="78" t="str">
        <x:f>IF(B61="","",YEAR(B61))</x:f>
      </x:c>
      <x:c r="D61" s="78" t="str">
        <x:f>IF(B61="","",CHOOSE(MONTH(B61),"Janvier","Février","Mars","Avril","Mai","Juin","Juillet","Août","Septembre","Octobre","Novembre","Décembre"))</x:f>
      </x:c>
      <x:c r="E61" s="78" t="str">
        <x:f>IF(B61="","",WEEKNUM(B61,2))</x:f>
      </x:c>
      <x:c r="F61" s="78" t="str">
        <x:f>IF(B61="","",CHOOSE(WEEKDAY(B61,2),"Lundi","Mardi","Mercredi","Jeudi","Vendredi","Samedi","Dimanche"))</x:f>
      </x:c>
      <x:c r="G61" s="82"/>
      <x:c r="H61" s="78" t="str">
        <x:f>IF(G61="","",IF(G61&lt;TIME(11,0,0),"Matin",IF(G61&lt;TIME(15,0,0),"Midi",IF(G61&lt;TIME(18,0,0),"Après-midi","Soir"))))</x:f>
      </x:c>
      <x:c r="I61" s="25"/>
      <x:c r="J61" s="25"/>
      <x:c r="K61" s="25"/>
      <x:c r="L61" s="25"/>
      <x:c r="M61" s="25"/>
      <x:c r="N61" s="25"/>
      <x:c r="O61" s="80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  <x:c r="AA61" s="25"/>
      <x:c r="AB61" s="25"/>
      <x:c r="AC61" s="92"/>
      <x:c r="AD61" s="92"/>
      <x:c r="AE61" s="92"/>
      <x:c r="AF61" s="92"/>
      <x:c r="AG61" s="92"/>
      <x:c r="AH61" s="92"/>
      <x:c r="AI61" s="92"/>
      <x:c r="AJ61" s="92"/>
      <x:c r="AK61" s="94" t="str">
        <x:f>IF(B61="","",SUM(AG61:AJ61))</x:f>
      </x:c>
      <x:c r="AL61" s="84" t="n">
        <x:f>IFERROR(AK61/AD61,0)</x:f>
        <x:v>0</x:v>
      </x:c>
      <x:c r="AM61" s="92"/>
      <x:c r="AN61" s="92"/>
      <x:c r="AO61" s="92"/>
      <x:c r="AP61" s="92"/>
      <x:c r="AQ61" s="25"/>
      <x:c r="AR61" s="25"/>
      <x:c r="AS61" s="86"/>
      <x:c r="AT61" s="86"/>
      <x:c r="AU61" s="86"/>
      <x:c r="AV61" s="90"/>
      <x:c r="AW61" s="86"/>
      <x:c r="AX61" s="88" t="str">
        <x:f>IF(B61="","",AV61*'Paramètres'!$B$4+AW61)</x:f>
      </x:c>
      <x:c r="AY61" s="25"/>
      <x:c r="AZ61" s="25"/>
      <x:c r="BA61" s="25"/>
    </x:row>
    <x:row r="62">
      <x:c r="A62" s="78" t="str">
        <x:f>IF(B62="","",ROW()-5)</x:f>
      </x:c>
      <x:c r="B62" s="80"/>
      <x:c r="C62" s="78" t="str">
        <x:f>IF(B62="","",YEAR(B62))</x:f>
      </x:c>
      <x:c r="D62" s="78" t="str">
        <x:f>IF(B62="","",CHOOSE(MONTH(B62),"Janvier","Février","Mars","Avril","Mai","Juin","Juillet","Août","Septembre","Octobre","Novembre","Décembre"))</x:f>
      </x:c>
      <x:c r="E62" s="78" t="str">
        <x:f>IF(B62="","",WEEKNUM(B62,2))</x:f>
      </x:c>
      <x:c r="F62" s="78" t="str">
        <x:f>IF(B62="","",CHOOSE(WEEKDAY(B62,2),"Lundi","Mardi","Mercredi","Jeudi","Vendredi","Samedi","Dimanche"))</x:f>
      </x:c>
      <x:c r="G62" s="82"/>
      <x:c r="H62" s="78" t="str">
        <x:f>IF(G62="","",IF(G62&lt;TIME(11,0,0),"Matin",IF(G62&lt;TIME(15,0,0),"Midi",IF(G62&lt;TIME(18,0,0),"Après-midi","Soir"))))</x:f>
      </x:c>
      <x:c r="I62" s="25"/>
      <x:c r="J62" s="25"/>
      <x:c r="K62" s="25"/>
      <x:c r="L62" s="25"/>
      <x:c r="M62" s="25"/>
      <x:c r="N62" s="25"/>
      <x:c r="O62" s="80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  <x:c r="AA62" s="25"/>
      <x:c r="AB62" s="25"/>
      <x:c r="AC62" s="92"/>
      <x:c r="AD62" s="92"/>
      <x:c r="AE62" s="92"/>
      <x:c r="AF62" s="92"/>
      <x:c r="AG62" s="92"/>
      <x:c r="AH62" s="92"/>
      <x:c r="AI62" s="92"/>
      <x:c r="AJ62" s="92"/>
      <x:c r="AK62" s="94" t="str">
        <x:f>IF(B62="","",SUM(AG62:AJ62))</x:f>
      </x:c>
      <x:c r="AL62" s="84" t="n">
        <x:f>IFERROR(AK62/AD62,0)</x:f>
        <x:v>0</x:v>
      </x:c>
      <x:c r="AM62" s="92"/>
      <x:c r="AN62" s="92"/>
      <x:c r="AO62" s="92"/>
      <x:c r="AP62" s="92"/>
      <x:c r="AQ62" s="25"/>
      <x:c r="AR62" s="25"/>
      <x:c r="AS62" s="86"/>
      <x:c r="AT62" s="86"/>
      <x:c r="AU62" s="86"/>
      <x:c r="AV62" s="90"/>
      <x:c r="AW62" s="86"/>
      <x:c r="AX62" s="88" t="str">
        <x:f>IF(B62="","",AV62*'Paramètres'!$B$4+AW62)</x:f>
      </x:c>
      <x:c r="AY62" s="25"/>
      <x:c r="AZ62" s="25"/>
      <x:c r="BA62" s="25"/>
    </x:row>
    <x:row r="63">
      <x:c r="A63" s="78" t="str">
        <x:f>IF(B63="","",ROW()-5)</x:f>
      </x:c>
      <x:c r="B63" s="80"/>
      <x:c r="C63" s="78" t="str">
        <x:f>IF(B63="","",YEAR(B63))</x:f>
      </x:c>
      <x:c r="D63" s="78" t="str">
        <x:f>IF(B63="","",CHOOSE(MONTH(B63),"Janvier","Février","Mars","Avril","Mai","Juin","Juillet","Août","Septembre","Octobre","Novembre","Décembre"))</x:f>
      </x:c>
      <x:c r="E63" s="78" t="str">
        <x:f>IF(B63="","",WEEKNUM(B63,2))</x:f>
      </x:c>
      <x:c r="F63" s="78" t="str">
        <x:f>IF(B63="","",CHOOSE(WEEKDAY(B63,2),"Lundi","Mardi","Mercredi","Jeudi","Vendredi","Samedi","Dimanche"))</x:f>
      </x:c>
      <x:c r="G63" s="82"/>
      <x:c r="H63" s="78" t="str">
        <x:f>IF(G63="","",IF(G63&lt;TIME(11,0,0),"Matin",IF(G63&lt;TIME(15,0,0),"Midi",IF(G63&lt;TIME(18,0,0),"Après-midi","Soir"))))</x:f>
      </x:c>
      <x:c r="I63" s="25"/>
      <x:c r="J63" s="25"/>
      <x:c r="K63" s="25"/>
      <x:c r="L63" s="25"/>
      <x:c r="M63" s="25"/>
      <x:c r="N63" s="25"/>
      <x:c r="O63" s="80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  <x:c r="AA63" s="25"/>
      <x:c r="AB63" s="25"/>
      <x:c r="AC63" s="92"/>
      <x:c r="AD63" s="92"/>
      <x:c r="AE63" s="92"/>
      <x:c r="AF63" s="92"/>
      <x:c r="AG63" s="92"/>
      <x:c r="AH63" s="92"/>
      <x:c r="AI63" s="92"/>
      <x:c r="AJ63" s="92"/>
      <x:c r="AK63" s="94" t="str">
        <x:f>IF(B63="","",SUM(AG63:AJ63))</x:f>
      </x:c>
      <x:c r="AL63" s="84" t="n">
        <x:f>IFERROR(AK63/AD63,0)</x:f>
        <x:v>0</x:v>
      </x:c>
      <x:c r="AM63" s="92"/>
      <x:c r="AN63" s="92"/>
      <x:c r="AO63" s="92"/>
      <x:c r="AP63" s="92"/>
      <x:c r="AQ63" s="25"/>
      <x:c r="AR63" s="25"/>
      <x:c r="AS63" s="86"/>
      <x:c r="AT63" s="86"/>
      <x:c r="AU63" s="86"/>
      <x:c r="AV63" s="90"/>
      <x:c r="AW63" s="86"/>
      <x:c r="AX63" s="88" t="str">
        <x:f>IF(B63="","",AV63*'Paramètres'!$B$4+AW63)</x:f>
      </x:c>
      <x:c r="AY63" s="25"/>
      <x:c r="AZ63" s="25"/>
      <x:c r="BA63" s="25"/>
    </x:row>
    <x:row r="64">
      <x:c r="A64" s="78" t="str">
        <x:f>IF(B64="","",ROW()-5)</x:f>
      </x:c>
      <x:c r="B64" s="80"/>
      <x:c r="C64" s="78" t="str">
        <x:f>IF(B64="","",YEAR(B64))</x:f>
      </x:c>
      <x:c r="D64" s="78" t="str">
        <x:f>IF(B64="","",CHOOSE(MONTH(B64),"Janvier","Février","Mars","Avril","Mai","Juin","Juillet","Août","Septembre","Octobre","Novembre","Décembre"))</x:f>
      </x:c>
      <x:c r="E64" s="78" t="str">
        <x:f>IF(B64="","",WEEKNUM(B64,2))</x:f>
      </x:c>
      <x:c r="F64" s="78" t="str">
        <x:f>IF(B64="","",CHOOSE(WEEKDAY(B64,2),"Lundi","Mardi","Mercredi","Jeudi","Vendredi","Samedi","Dimanche"))</x:f>
      </x:c>
      <x:c r="G64" s="82"/>
      <x:c r="H64" s="78" t="str">
        <x:f>IF(G64="","",IF(G64&lt;TIME(11,0,0),"Matin",IF(G64&lt;TIME(15,0,0),"Midi",IF(G64&lt;TIME(18,0,0),"Après-midi","Soir"))))</x:f>
      </x:c>
      <x:c r="I64" s="25"/>
      <x:c r="J64" s="25"/>
      <x:c r="K64" s="25"/>
      <x:c r="L64" s="25"/>
      <x:c r="M64" s="25"/>
      <x:c r="N64" s="25"/>
      <x:c r="O64" s="80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  <x:c r="AA64" s="25"/>
      <x:c r="AB64" s="25"/>
      <x:c r="AC64" s="92"/>
      <x:c r="AD64" s="92"/>
      <x:c r="AE64" s="92"/>
      <x:c r="AF64" s="92"/>
      <x:c r="AG64" s="92"/>
      <x:c r="AH64" s="92"/>
      <x:c r="AI64" s="92"/>
      <x:c r="AJ64" s="92"/>
      <x:c r="AK64" s="94" t="str">
        <x:f>IF(B64="","",SUM(AG64:AJ64))</x:f>
      </x:c>
      <x:c r="AL64" s="84" t="n">
        <x:f>IFERROR(AK64/AD64,0)</x:f>
        <x:v>0</x:v>
      </x:c>
      <x:c r="AM64" s="92"/>
      <x:c r="AN64" s="92"/>
      <x:c r="AO64" s="92"/>
      <x:c r="AP64" s="92"/>
      <x:c r="AQ64" s="25"/>
      <x:c r="AR64" s="25"/>
      <x:c r="AS64" s="86"/>
      <x:c r="AT64" s="86"/>
      <x:c r="AU64" s="86"/>
      <x:c r="AV64" s="90"/>
      <x:c r="AW64" s="86"/>
      <x:c r="AX64" s="88" t="str">
        <x:f>IF(B64="","",AV64*'Paramètres'!$B$4+AW64)</x:f>
      </x:c>
      <x:c r="AY64" s="25"/>
      <x:c r="AZ64" s="25"/>
      <x:c r="BA64" s="25"/>
    </x:row>
    <x:row r="65">
      <x:c r="A65" s="78" t="str">
        <x:f>IF(B65="","",ROW()-5)</x:f>
      </x:c>
      <x:c r="B65" s="80"/>
      <x:c r="C65" s="78" t="str">
        <x:f>IF(B65="","",YEAR(B65))</x:f>
      </x:c>
      <x:c r="D65" s="78" t="str">
        <x:f>IF(B65="","",CHOOSE(MONTH(B65),"Janvier","Février","Mars","Avril","Mai","Juin","Juillet","Août","Septembre","Octobre","Novembre","Décembre"))</x:f>
      </x:c>
      <x:c r="E65" s="78" t="str">
        <x:f>IF(B65="","",WEEKNUM(B65,2))</x:f>
      </x:c>
      <x:c r="F65" s="78" t="str">
        <x:f>IF(B65="","",CHOOSE(WEEKDAY(B65,2),"Lundi","Mardi","Mercredi","Jeudi","Vendredi","Samedi","Dimanche"))</x:f>
      </x:c>
      <x:c r="G65" s="82"/>
      <x:c r="H65" s="78" t="str">
        <x:f>IF(G65="","",IF(G65&lt;TIME(11,0,0),"Matin",IF(G65&lt;TIME(15,0,0),"Midi",IF(G65&lt;TIME(18,0,0),"Après-midi","Soir"))))</x:f>
      </x:c>
      <x:c r="I65" s="25"/>
      <x:c r="J65" s="25"/>
      <x:c r="K65" s="25"/>
      <x:c r="L65" s="25"/>
      <x:c r="M65" s="25"/>
      <x:c r="N65" s="25"/>
      <x:c r="O65" s="80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  <x:c r="AA65" s="25"/>
      <x:c r="AB65" s="25"/>
      <x:c r="AC65" s="92"/>
      <x:c r="AD65" s="92"/>
      <x:c r="AE65" s="92"/>
      <x:c r="AF65" s="92"/>
      <x:c r="AG65" s="92"/>
      <x:c r="AH65" s="92"/>
      <x:c r="AI65" s="92"/>
      <x:c r="AJ65" s="92"/>
      <x:c r="AK65" s="94" t="str">
        <x:f>IF(B65="","",SUM(AG65:AJ65))</x:f>
      </x:c>
      <x:c r="AL65" s="84" t="n">
        <x:f>IFERROR(AK65/AD65,0)</x:f>
        <x:v>0</x:v>
      </x:c>
      <x:c r="AM65" s="92"/>
      <x:c r="AN65" s="92"/>
      <x:c r="AO65" s="92"/>
      <x:c r="AP65" s="92"/>
      <x:c r="AQ65" s="25"/>
      <x:c r="AR65" s="25"/>
      <x:c r="AS65" s="86"/>
      <x:c r="AT65" s="86"/>
      <x:c r="AU65" s="86"/>
      <x:c r="AV65" s="90"/>
      <x:c r="AW65" s="86"/>
      <x:c r="AX65" s="88" t="str">
        <x:f>IF(B65="","",AV65*'Paramètres'!$B$4+AW65)</x:f>
      </x:c>
      <x:c r="AY65" s="25"/>
      <x:c r="AZ65" s="25"/>
      <x:c r="BA65" s="25"/>
    </x:row>
    <x:row r="66">
      <x:c r="A66" s="78" t="str">
        <x:f>IF(B66="","",ROW()-5)</x:f>
      </x:c>
      <x:c r="B66" s="80"/>
      <x:c r="C66" s="78" t="str">
        <x:f>IF(B66="","",YEAR(B66))</x:f>
      </x:c>
      <x:c r="D66" s="78" t="str">
        <x:f>IF(B66="","",CHOOSE(MONTH(B66),"Janvier","Février","Mars","Avril","Mai","Juin","Juillet","Août","Septembre","Octobre","Novembre","Décembre"))</x:f>
      </x:c>
      <x:c r="E66" s="78" t="str">
        <x:f>IF(B66="","",WEEKNUM(B66,2))</x:f>
      </x:c>
      <x:c r="F66" s="78" t="str">
        <x:f>IF(B66="","",CHOOSE(WEEKDAY(B66,2),"Lundi","Mardi","Mercredi","Jeudi","Vendredi","Samedi","Dimanche"))</x:f>
      </x:c>
      <x:c r="G66" s="82"/>
      <x:c r="H66" s="78" t="str">
        <x:f>IF(G66="","",IF(G66&lt;TIME(11,0,0),"Matin",IF(G66&lt;TIME(15,0,0),"Midi",IF(G66&lt;TIME(18,0,0),"Après-midi","Soir"))))</x:f>
      </x:c>
      <x:c r="I66" s="25"/>
      <x:c r="J66" s="25"/>
      <x:c r="K66" s="25"/>
      <x:c r="L66" s="25"/>
      <x:c r="M66" s="25"/>
      <x:c r="N66" s="25"/>
      <x:c r="O66" s="80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  <x:c r="AA66" s="25"/>
      <x:c r="AB66" s="25"/>
      <x:c r="AC66" s="92"/>
      <x:c r="AD66" s="92"/>
      <x:c r="AE66" s="92"/>
      <x:c r="AF66" s="92"/>
      <x:c r="AG66" s="92"/>
      <x:c r="AH66" s="92"/>
      <x:c r="AI66" s="92"/>
      <x:c r="AJ66" s="92"/>
      <x:c r="AK66" s="94" t="str">
        <x:f>IF(B66="","",SUM(AG66:AJ66))</x:f>
      </x:c>
      <x:c r="AL66" s="84" t="n">
        <x:f>IFERROR(AK66/AD66,0)</x:f>
        <x:v>0</x:v>
      </x:c>
      <x:c r="AM66" s="92"/>
      <x:c r="AN66" s="92"/>
      <x:c r="AO66" s="92"/>
      <x:c r="AP66" s="92"/>
      <x:c r="AQ66" s="25"/>
      <x:c r="AR66" s="25"/>
      <x:c r="AS66" s="86"/>
      <x:c r="AT66" s="86"/>
      <x:c r="AU66" s="86"/>
      <x:c r="AV66" s="90"/>
      <x:c r="AW66" s="86"/>
      <x:c r="AX66" s="88" t="str">
        <x:f>IF(B66="","",AV66*'Paramètres'!$B$4+AW66)</x:f>
      </x:c>
      <x:c r="AY66" s="25"/>
      <x:c r="AZ66" s="25"/>
      <x:c r="BA66" s="25"/>
    </x:row>
    <x:row r="67">
      <x:c r="A67" s="78" t="str">
        <x:f>IF(B67="","",ROW()-5)</x:f>
      </x:c>
      <x:c r="B67" s="80"/>
      <x:c r="C67" s="78" t="str">
        <x:f>IF(B67="","",YEAR(B67))</x:f>
      </x:c>
      <x:c r="D67" s="78" t="str">
        <x:f>IF(B67="","",CHOOSE(MONTH(B67),"Janvier","Février","Mars","Avril","Mai","Juin","Juillet","Août","Septembre","Octobre","Novembre","Décembre"))</x:f>
      </x:c>
      <x:c r="E67" s="78" t="str">
        <x:f>IF(B67="","",WEEKNUM(B67,2))</x:f>
      </x:c>
      <x:c r="F67" s="78" t="str">
        <x:f>IF(B67="","",CHOOSE(WEEKDAY(B67,2),"Lundi","Mardi","Mercredi","Jeudi","Vendredi","Samedi","Dimanche"))</x:f>
      </x:c>
      <x:c r="G67" s="82"/>
      <x:c r="H67" s="78" t="str">
        <x:f>IF(G67="","",IF(G67&lt;TIME(11,0,0),"Matin",IF(G67&lt;TIME(15,0,0),"Midi",IF(G67&lt;TIME(18,0,0),"Après-midi","Soir"))))</x:f>
      </x:c>
      <x:c r="I67" s="25"/>
      <x:c r="J67" s="25"/>
      <x:c r="K67" s="25"/>
      <x:c r="L67" s="25"/>
      <x:c r="M67" s="25"/>
      <x:c r="N67" s="25"/>
      <x:c r="O67" s="80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  <x:c r="AA67" s="25"/>
      <x:c r="AB67" s="25"/>
      <x:c r="AC67" s="92"/>
      <x:c r="AD67" s="92"/>
      <x:c r="AE67" s="92"/>
      <x:c r="AF67" s="92"/>
      <x:c r="AG67" s="92"/>
      <x:c r="AH67" s="92"/>
      <x:c r="AI67" s="92"/>
      <x:c r="AJ67" s="92"/>
      <x:c r="AK67" s="94" t="str">
        <x:f>IF(B67="","",SUM(AG67:AJ67))</x:f>
      </x:c>
      <x:c r="AL67" s="84" t="n">
        <x:f>IFERROR(AK67/AD67,0)</x:f>
        <x:v>0</x:v>
      </x:c>
      <x:c r="AM67" s="92"/>
      <x:c r="AN67" s="92"/>
      <x:c r="AO67" s="92"/>
      <x:c r="AP67" s="92"/>
      <x:c r="AQ67" s="25"/>
      <x:c r="AR67" s="25"/>
      <x:c r="AS67" s="86"/>
      <x:c r="AT67" s="86"/>
      <x:c r="AU67" s="86"/>
      <x:c r="AV67" s="90"/>
      <x:c r="AW67" s="86"/>
      <x:c r="AX67" s="88" t="str">
        <x:f>IF(B67="","",AV67*'Paramètres'!$B$4+AW67)</x:f>
      </x:c>
      <x:c r="AY67" s="25"/>
      <x:c r="AZ67" s="25"/>
      <x:c r="BA67" s="25"/>
    </x:row>
    <x:row r="68">
      <x:c r="A68" s="78" t="str">
        <x:f>IF(B68="","",ROW()-5)</x:f>
      </x:c>
      <x:c r="B68" s="80"/>
      <x:c r="C68" s="78" t="str">
        <x:f>IF(B68="","",YEAR(B68))</x:f>
      </x:c>
      <x:c r="D68" s="78" t="str">
        <x:f>IF(B68="","",CHOOSE(MONTH(B68),"Janvier","Février","Mars","Avril","Mai","Juin","Juillet","Août","Septembre","Octobre","Novembre","Décembre"))</x:f>
      </x:c>
      <x:c r="E68" s="78" t="str">
        <x:f>IF(B68="","",WEEKNUM(B68,2))</x:f>
      </x:c>
      <x:c r="F68" s="78" t="str">
        <x:f>IF(B68="","",CHOOSE(WEEKDAY(B68,2),"Lundi","Mardi","Mercredi","Jeudi","Vendredi","Samedi","Dimanche"))</x:f>
      </x:c>
      <x:c r="G68" s="82"/>
      <x:c r="H68" s="78" t="str">
        <x:f>IF(G68="","",IF(G68&lt;TIME(11,0,0),"Matin",IF(G68&lt;TIME(15,0,0),"Midi",IF(G68&lt;TIME(18,0,0),"Après-midi","Soir"))))</x:f>
      </x:c>
      <x:c r="I68" s="25"/>
      <x:c r="J68" s="25"/>
      <x:c r="K68" s="25"/>
      <x:c r="L68" s="25"/>
      <x:c r="M68" s="25"/>
      <x:c r="N68" s="25"/>
      <x:c r="O68" s="80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  <x:c r="AA68" s="25"/>
      <x:c r="AB68" s="25"/>
      <x:c r="AC68" s="92"/>
      <x:c r="AD68" s="92"/>
      <x:c r="AE68" s="92"/>
      <x:c r="AF68" s="92"/>
      <x:c r="AG68" s="92"/>
      <x:c r="AH68" s="92"/>
      <x:c r="AI68" s="92"/>
      <x:c r="AJ68" s="92"/>
      <x:c r="AK68" s="94" t="str">
        <x:f>IF(B68="","",SUM(AG68:AJ68))</x:f>
      </x:c>
      <x:c r="AL68" s="84" t="n">
        <x:f>IFERROR(AK68/AD68,0)</x:f>
        <x:v>0</x:v>
      </x:c>
      <x:c r="AM68" s="92"/>
      <x:c r="AN68" s="92"/>
      <x:c r="AO68" s="92"/>
      <x:c r="AP68" s="92"/>
      <x:c r="AQ68" s="25"/>
      <x:c r="AR68" s="25"/>
      <x:c r="AS68" s="86"/>
      <x:c r="AT68" s="86"/>
      <x:c r="AU68" s="86"/>
      <x:c r="AV68" s="90"/>
      <x:c r="AW68" s="86"/>
      <x:c r="AX68" s="88" t="str">
        <x:f>IF(B68="","",AV68*'Paramètres'!$B$4+AW68)</x:f>
      </x:c>
      <x:c r="AY68" s="25"/>
      <x:c r="AZ68" s="25"/>
      <x:c r="BA68" s="25"/>
    </x:row>
    <x:row r="69">
      <x:c r="A69" s="78" t="str">
        <x:f>IF(B69="","",ROW()-5)</x:f>
      </x:c>
      <x:c r="B69" s="80"/>
      <x:c r="C69" s="78" t="str">
        <x:f>IF(B69="","",YEAR(B69))</x:f>
      </x:c>
      <x:c r="D69" s="78" t="str">
        <x:f>IF(B69="","",CHOOSE(MONTH(B69),"Janvier","Février","Mars","Avril","Mai","Juin","Juillet","Août","Septembre","Octobre","Novembre","Décembre"))</x:f>
      </x:c>
      <x:c r="E69" s="78" t="str">
        <x:f>IF(B69="","",WEEKNUM(B69,2))</x:f>
      </x:c>
      <x:c r="F69" s="78" t="str">
        <x:f>IF(B69="","",CHOOSE(WEEKDAY(B69,2),"Lundi","Mardi","Mercredi","Jeudi","Vendredi","Samedi","Dimanche"))</x:f>
      </x:c>
      <x:c r="G69" s="82"/>
      <x:c r="H69" s="78" t="str">
        <x:f>IF(G69="","",IF(G69&lt;TIME(11,0,0),"Matin",IF(G69&lt;TIME(15,0,0),"Midi",IF(G69&lt;TIME(18,0,0),"Après-midi","Soir"))))</x:f>
      </x:c>
      <x:c r="I69" s="25"/>
      <x:c r="J69" s="25"/>
      <x:c r="K69" s="25"/>
      <x:c r="L69" s="25"/>
      <x:c r="M69" s="25"/>
      <x:c r="N69" s="25"/>
      <x:c r="O69" s="80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  <x:c r="AA69" s="25"/>
      <x:c r="AB69" s="25"/>
      <x:c r="AC69" s="92"/>
      <x:c r="AD69" s="92"/>
      <x:c r="AE69" s="92"/>
      <x:c r="AF69" s="92"/>
      <x:c r="AG69" s="92"/>
      <x:c r="AH69" s="92"/>
      <x:c r="AI69" s="92"/>
      <x:c r="AJ69" s="92"/>
      <x:c r="AK69" s="94" t="str">
        <x:f>IF(B69="","",SUM(AG69:AJ69))</x:f>
      </x:c>
      <x:c r="AL69" s="84" t="n">
        <x:f>IFERROR(AK69/AD69,0)</x:f>
        <x:v>0</x:v>
      </x:c>
      <x:c r="AM69" s="92"/>
      <x:c r="AN69" s="92"/>
      <x:c r="AO69" s="92"/>
      <x:c r="AP69" s="92"/>
      <x:c r="AQ69" s="25"/>
      <x:c r="AR69" s="25"/>
      <x:c r="AS69" s="86"/>
      <x:c r="AT69" s="86"/>
      <x:c r="AU69" s="86"/>
      <x:c r="AV69" s="90"/>
      <x:c r="AW69" s="86"/>
      <x:c r="AX69" s="88" t="str">
        <x:f>IF(B69="","",AV69*'Paramètres'!$B$4+AW69)</x:f>
      </x:c>
      <x:c r="AY69" s="25"/>
      <x:c r="AZ69" s="25"/>
      <x:c r="BA69" s="25"/>
    </x:row>
    <x:row r="70">
      <x:c r="A70" s="78" t="str">
        <x:f>IF(B70="","",ROW()-5)</x:f>
      </x:c>
      <x:c r="B70" s="80"/>
      <x:c r="C70" s="78" t="str">
        <x:f>IF(B70="","",YEAR(B70))</x:f>
      </x:c>
      <x:c r="D70" s="78" t="str">
        <x:f>IF(B70="","",CHOOSE(MONTH(B70),"Janvier","Février","Mars","Avril","Mai","Juin","Juillet","Août","Septembre","Octobre","Novembre","Décembre"))</x:f>
      </x:c>
      <x:c r="E70" s="78" t="str">
        <x:f>IF(B70="","",WEEKNUM(B70,2))</x:f>
      </x:c>
      <x:c r="F70" s="78" t="str">
        <x:f>IF(B70="","",CHOOSE(WEEKDAY(B70,2),"Lundi","Mardi","Mercredi","Jeudi","Vendredi","Samedi","Dimanche"))</x:f>
      </x:c>
      <x:c r="G70" s="82"/>
      <x:c r="H70" s="78" t="str">
        <x:f>IF(G70="","",IF(G70&lt;TIME(11,0,0),"Matin",IF(G70&lt;TIME(15,0,0),"Midi",IF(G70&lt;TIME(18,0,0),"Après-midi","Soir"))))</x:f>
      </x:c>
      <x:c r="I70" s="25"/>
      <x:c r="J70" s="25"/>
      <x:c r="K70" s="25"/>
      <x:c r="L70" s="25"/>
      <x:c r="M70" s="25"/>
      <x:c r="N70" s="25"/>
      <x:c r="O70" s="80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  <x:c r="AA70" s="25"/>
      <x:c r="AB70" s="25"/>
      <x:c r="AC70" s="92"/>
      <x:c r="AD70" s="92"/>
      <x:c r="AE70" s="92"/>
      <x:c r="AF70" s="92"/>
      <x:c r="AG70" s="92"/>
      <x:c r="AH70" s="92"/>
      <x:c r="AI70" s="92"/>
      <x:c r="AJ70" s="92"/>
      <x:c r="AK70" s="94" t="str">
        <x:f>IF(B70="","",SUM(AG70:AJ70))</x:f>
      </x:c>
      <x:c r="AL70" s="84" t="n">
        <x:f>IFERROR(AK70/AD70,0)</x:f>
        <x:v>0</x:v>
      </x:c>
      <x:c r="AM70" s="92"/>
      <x:c r="AN70" s="92"/>
      <x:c r="AO70" s="92"/>
      <x:c r="AP70" s="92"/>
      <x:c r="AQ70" s="25"/>
      <x:c r="AR70" s="25"/>
      <x:c r="AS70" s="86"/>
      <x:c r="AT70" s="86"/>
      <x:c r="AU70" s="86"/>
      <x:c r="AV70" s="90"/>
      <x:c r="AW70" s="86"/>
      <x:c r="AX70" s="88" t="str">
        <x:f>IF(B70="","",AV70*'Paramètres'!$B$4+AW70)</x:f>
      </x:c>
      <x:c r="AY70" s="25"/>
      <x:c r="AZ70" s="25"/>
      <x:c r="BA70" s="25"/>
    </x:row>
    <x:row r="71">
      <x:c r="A71" s="78" t="str">
        <x:f>IF(B71="","",ROW()-5)</x:f>
      </x:c>
      <x:c r="B71" s="80"/>
      <x:c r="C71" s="78" t="str">
        <x:f>IF(B71="","",YEAR(B71))</x:f>
      </x:c>
      <x:c r="D71" s="78" t="str">
        <x:f>IF(B71="","",CHOOSE(MONTH(B71),"Janvier","Février","Mars","Avril","Mai","Juin","Juillet","Août","Septembre","Octobre","Novembre","Décembre"))</x:f>
      </x:c>
      <x:c r="E71" s="78" t="str">
        <x:f>IF(B71="","",WEEKNUM(B71,2))</x:f>
      </x:c>
      <x:c r="F71" s="78" t="str">
        <x:f>IF(B71="","",CHOOSE(WEEKDAY(B71,2),"Lundi","Mardi","Mercredi","Jeudi","Vendredi","Samedi","Dimanche"))</x:f>
      </x:c>
      <x:c r="G71" s="82"/>
      <x:c r="H71" s="78" t="str">
        <x:f>IF(G71="","",IF(G71&lt;TIME(11,0,0),"Matin",IF(G71&lt;TIME(15,0,0),"Midi",IF(G71&lt;TIME(18,0,0),"Après-midi","Soir"))))</x:f>
      </x:c>
      <x:c r="I71" s="25"/>
      <x:c r="J71" s="25"/>
      <x:c r="K71" s="25"/>
      <x:c r="L71" s="25"/>
      <x:c r="M71" s="25"/>
      <x:c r="N71" s="25"/>
      <x:c r="O71" s="80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  <x:c r="AA71" s="25"/>
      <x:c r="AB71" s="25"/>
      <x:c r="AC71" s="92"/>
      <x:c r="AD71" s="92"/>
      <x:c r="AE71" s="92"/>
      <x:c r="AF71" s="92"/>
      <x:c r="AG71" s="92"/>
      <x:c r="AH71" s="92"/>
      <x:c r="AI71" s="92"/>
      <x:c r="AJ71" s="92"/>
      <x:c r="AK71" s="94" t="str">
        <x:f>IF(B71="","",SUM(AG71:AJ71))</x:f>
      </x:c>
      <x:c r="AL71" s="84" t="n">
        <x:f>IFERROR(AK71/AD71,0)</x:f>
        <x:v>0</x:v>
      </x:c>
      <x:c r="AM71" s="92"/>
      <x:c r="AN71" s="92"/>
      <x:c r="AO71" s="92"/>
      <x:c r="AP71" s="92"/>
      <x:c r="AQ71" s="25"/>
      <x:c r="AR71" s="25"/>
      <x:c r="AS71" s="86"/>
      <x:c r="AT71" s="86"/>
      <x:c r="AU71" s="86"/>
      <x:c r="AV71" s="90"/>
      <x:c r="AW71" s="86"/>
      <x:c r="AX71" s="88" t="str">
        <x:f>IF(B71="","",AV71*'Paramètres'!$B$4+AW71)</x:f>
      </x:c>
      <x:c r="AY71" s="25"/>
      <x:c r="AZ71" s="25"/>
      <x:c r="BA71" s="25"/>
    </x:row>
    <x:row r="72">
      <x:c r="A72" s="78" t="str">
        <x:f>IF(B72="","",ROW()-5)</x:f>
      </x:c>
      <x:c r="B72" s="80"/>
      <x:c r="C72" s="78" t="str">
        <x:f>IF(B72="","",YEAR(B72))</x:f>
      </x:c>
      <x:c r="D72" s="78" t="str">
        <x:f>IF(B72="","",CHOOSE(MONTH(B72),"Janvier","Février","Mars","Avril","Mai","Juin","Juillet","Août","Septembre","Octobre","Novembre","Décembre"))</x:f>
      </x:c>
      <x:c r="E72" s="78" t="str">
        <x:f>IF(B72="","",WEEKNUM(B72,2))</x:f>
      </x:c>
      <x:c r="F72" s="78" t="str">
        <x:f>IF(B72="","",CHOOSE(WEEKDAY(B72,2),"Lundi","Mardi","Mercredi","Jeudi","Vendredi","Samedi","Dimanche"))</x:f>
      </x:c>
      <x:c r="G72" s="82"/>
      <x:c r="H72" s="78" t="str">
        <x:f>IF(G72="","",IF(G72&lt;TIME(11,0,0),"Matin",IF(G72&lt;TIME(15,0,0),"Midi",IF(G72&lt;TIME(18,0,0),"Après-midi","Soir"))))</x:f>
      </x:c>
      <x:c r="I72" s="25"/>
      <x:c r="J72" s="25"/>
      <x:c r="K72" s="25"/>
      <x:c r="L72" s="25"/>
      <x:c r="M72" s="25"/>
      <x:c r="N72" s="25"/>
      <x:c r="O72" s="80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  <x:c r="AA72" s="25"/>
      <x:c r="AB72" s="25"/>
      <x:c r="AC72" s="92"/>
      <x:c r="AD72" s="92"/>
      <x:c r="AE72" s="92"/>
      <x:c r="AF72" s="92"/>
      <x:c r="AG72" s="92"/>
      <x:c r="AH72" s="92"/>
      <x:c r="AI72" s="92"/>
      <x:c r="AJ72" s="92"/>
      <x:c r="AK72" s="94" t="str">
        <x:f>IF(B72="","",SUM(AG72:AJ72))</x:f>
      </x:c>
      <x:c r="AL72" s="84" t="n">
        <x:f>IFERROR(AK72/AD72,0)</x:f>
        <x:v>0</x:v>
      </x:c>
      <x:c r="AM72" s="92"/>
      <x:c r="AN72" s="92"/>
      <x:c r="AO72" s="92"/>
      <x:c r="AP72" s="92"/>
      <x:c r="AQ72" s="25"/>
      <x:c r="AR72" s="25"/>
      <x:c r="AS72" s="86"/>
      <x:c r="AT72" s="86"/>
      <x:c r="AU72" s="86"/>
      <x:c r="AV72" s="90"/>
      <x:c r="AW72" s="86"/>
      <x:c r="AX72" s="88" t="str">
        <x:f>IF(B72="","",AV72*'Paramètres'!$B$4+AW72)</x:f>
      </x:c>
      <x:c r="AY72" s="25"/>
      <x:c r="AZ72" s="25"/>
      <x:c r="BA72" s="25"/>
    </x:row>
    <x:row r="73">
      <x:c r="A73" s="78" t="str">
        <x:f>IF(B73="","",ROW()-5)</x:f>
      </x:c>
      <x:c r="B73" s="80"/>
      <x:c r="C73" s="78" t="str">
        <x:f>IF(B73="","",YEAR(B73))</x:f>
      </x:c>
      <x:c r="D73" s="78" t="str">
        <x:f>IF(B73="","",CHOOSE(MONTH(B73),"Janvier","Février","Mars","Avril","Mai","Juin","Juillet","Août","Septembre","Octobre","Novembre","Décembre"))</x:f>
      </x:c>
      <x:c r="E73" s="78" t="str">
        <x:f>IF(B73="","",WEEKNUM(B73,2))</x:f>
      </x:c>
      <x:c r="F73" s="78" t="str">
        <x:f>IF(B73="","",CHOOSE(WEEKDAY(B73,2),"Lundi","Mardi","Mercredi","Jeudi","Vendredi","Samedi","Dimanche"))</x:f>
      </x:c>
      <x:c r="G73" s="82"/>
      <x:c r="H73" s="78" t="str">
        <x:f>IF(G73="","",IF(G73&lt;TIME(11,0,0),"Matin",IF(G73&lt;TIME(15,0,0),"Midi",IF(G73&lt;TIME(18,0,0),"Après-midi","Soir"))))</x:f>
      </x:c>
      <x:c r="I73" s="25"/>
      <x:c r="J73" s="25"/>
      <x:c r="K73" s="25"/>
      <x:c r="L73" s="25"/>
      <x:c r="M73" s="25"/>
      <x:c r="N73" s="25"/>
      <x:c r="O73" s="80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  <x:c r="AA73" s="25"/>
      <x:c r="AB73" s="25"/>
      <x:c r="AC73" s="92"/>
      <x:c r="AD73" s="92"/>
      <x:c r="AE73" s="92"/>
      <x:c r="AF73" s="92"/>
      <x:c r="AG73" s="92"/>
      <x:c r="AH73" s="92"/>
      <x:c r="AI73" s="92"/>
      <x:c r="AJ73" s="92"/>
      <x:c r="AK73" s="94" t="str">
        <x:f>IF(B73="","",SUM(AG73:AJ73))</x:f>
      </x:c>
      <x:c r="AL73" s="84" t="n">
        <x:f>IFERROR(AK73/AD73,0)</x:f>
        <x:v>0</x:v>
      </x:c>
      <x:c r="AM73" s="92"/>
      <x:c r="AN73" s="92"/>
      <x:c r="AO73" s="92"/>
      <x:c r="AP73" s="92"/>
      <x:c r="AQ73" s="25"/>
      <x:c r="AR73" s="25"/>
      <x:c r="AS73" s="86"/>
      <x:c r="AT73" s="86"/>
      <x:c r="AU73" s="86"/>
      <x:c r="AV73" s="90"/>
      <x:c r="AW73" s="86"/>
      <x:c r="AX73" s="88" t="str">
        <x:f>IF(B73="","",AV73*'Paramètres'!$B$4+AW73)</x:f>
      </x:c>
      <x:c r="AY73" s="25"/>
      <x:c r="AZ73" s="25"/>
      <x:c r="BA73" s="25"/>
    </x:row>
    <x:row r="74">
      <x:c r="A74" s="78" t="str">
        <x:f>IF(B74="","",ROW()-5)</x:f>
      </x:c>
      <x:c r="B74" s="80"/>
      <x:c r="C74" s="78" t="str">
        <x:f>IF(B74="","",YEAR(B74))</x:f>
      </x:c>
      <x:c r="D74" s="78" t="str">
        <x:f>IF(B74="","",CHOOSE(MONTH(B74),"Janvier","Février","Mars","Avril","Mai","Juin","Juillet","Août","Septembre","Octobre","Novembre","Décembre"))</x:f>
      </x:c>
      <x:c r="E74" s="78" t="str">
        <x:f>IF(B74="","",WEEKNUM(B74,2))</x:f>
      </x:c>
      <x:c r="F74" s="78" t="str">
        <x:f>IF(B74="","",CHOOSE(WEEKDAY(B74,2),"Lundi","Mardi","Mercredi","Jeudi","Vendredi","Samedi","Dimanche"))</x:f>
      </x:c>
      <x:c r="G74" s="82"/>
      <x:c r="H74" s="78" t="str">
        <x:f>IF(G74="","",IF(G74&lt;TIME(11,0,0),"Matin",IF(G74&lt;TIME(15,0,0),"Midi",IF(G74&lt;TIME(18,0,0),"Après-midi","Soir"))))</x:f>
      </x:c>
      <x:c r="I74" s="25"/>
      <x:c r="J74" s="25"/>
      <x:c r="K74" s="25"/>
      <x:c r="L74" s="25"/>
      <x:c r="M74" s="25"/>
      <x:c r="N74" s="25"/>
      <x:c r="O74" s="80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  <x:c r="AA74" s="25"/>
      <x:c r="AB74" s="25"/>
      <x:c r="AC74" s="92"/>
      <x:c r="AD74" s="92"/>
      <x:c r="AE74" s="92"/>
      <x:c r="AF74" s="92"/>
      <x:c r="AG74" s="92"/>
      <x:c r="AH74" s="92"/>
      <x:c r="AI74" s="92"/>
      <x:c r="AJ74" s="92"/>
      <x:c r="AK74" s="94" t="str">
        <x:f>IF(B74="","",SUM(AG74:AJ74))</x:f>
      </x:c>
      <x:c r="AL74" s="84" t="n">
        <x:f>IFERROR(AK74/AD74,0)</x:f>
        <x:v>0</x:v>
      </x:c>
      <x:c r="AM74" s="92"/>
      <x:c r="AN74" s="92"/>
      <x:c r="AO74" s="92"/>
      <x:c r="AP74" s="92"/>
      <x:c r="AQ74" s="25"/>
      <x:c r="AR74" s="25"/>
      <x:c r="AS74" s="86"/>
      <x:c r="AT74" s="86"/>
      <x:c r="AU74" s="86"/>
      <x:c r="AV74" s="90"/>
      <x:c r="AW74" s="86"/>
      <x:c r="AX74" s="88" t="str">
        <x:f>IF(B74="","",AV74*'Paramètres'!$B$4+AW74)</x:f>
      </x:c>
      <x:c r="AY74" s="25"/>
      <x:c r="AZ74" s="25"/>
      <x:c r="BA74" s="25"/>
    </x:row>
    <x:row r="75">
      <x:c r="A75" s="78" t="str">
        <x:f>IF(B75="","",ROW()-5)</x:f>
      </x:c>
      <x:c r="B75" s="80"/>
      <x:c r="C75" s="78" t="str">
        <x:f>IF(B75="","",YEAR(B75))</x:f>
      </x:c>
      <x:c r="D75" s="78" t="str">
        <x:f>IF(B75="","",CHOOSE(MONTH(B75),"Janvier","Février","Mars","Avril","Mai","Juin","Juillet","Août","Septembre","Octobre","Novembre","Décembre"))</x:f>
      </x:c>
      <x:c r="E75" s="78" t="str">
        <x:f>IF(B75="","",WEEKNUM(B75,2))</x:f>
      </x:c>
      <x:c r="F75" s="78" t="str">
        <x:f>IF(B75="","",CHOOSE(WEEKDAY(B75,2),"Lundi","Mardi","Mercredi","Jeudi","Vendredi","Samedi","Dimanche"))</x:f>
      </x:c>
      <x:c r="G75" s="82"/>
      <x:c r="H75" s="78" t="str">
        <x:f>IF(G75="","",IF(G75&lt;TIME(11,0,0),"Matin",IF(G75&lt;TIME(15,0,0),"Midi",IF(G75&lt;TIME(18,0,0),"Après-midi","Soir"))))</x:f>
      </x:c>
      <x:c r="I75" s="25"/>
      <x:c r="J75" s="25"/>
      <x:c r="K75" s="25"/>
      <x:c r="L75" s="25"/>
      <x:c r="M75" s="25"/>
      <x:c r="N75" s="25"/>
      <x:c r="O75" s="80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  <x:c r="AA75" s="25"/>
      <x:c r="AB75" s="25"/>
      <x:c r="AC75" s="92"/>
      <x:c r="AD75" s="92"/>
      <x:c r="AE75" s="92"/>
      <x:c r="AF75" s="92"/>
      <x:c r="AG75" s="92"/>
      <x:c r="AH75" s="92"/>
      <x:c r="AI75" s="92"/>
      <x:c r="AJ75" s="92"/>
      <x:c r="AK75" s="94" t="str">
        <x:f>IF(B75="","",SUM(AG75:AJ75))</x:f>
      </x:c>
      <x:c r="AL75" s="84" t="n">
        <x:f>IFERROR(AK75/AD75,0)</x:f>
        <x:v>0</x:v>
      </x:c>
      <x:c r="AM75" s="92"/>
      <x:c r="AN75" s="92"/>
      <x:c r="AO75" s="92"/>
      <x:c r="AP75" s="92"/>
      <x:c r="AQ75" s="25"/>
      <x:c r="AR75" s="25"/>
      <x:c r="AS75" s="86"/>
      <x:c r="AT75" s="86"/>
      <x:c r="AU75" s="86"/>
      <x:c r="AV75" s="90"/>
      <x:c r="AW75" s="86"/>
      <x:c r="AX75" s="88" t="str">
        <x:f>IF(B75="","",AV75*'Paramètres'!$B$4+AW75)</x:f>
      </x:c>
      <x:c r="AY75" s="25"/>
      <x:c r="AZ75" s="25"/>
      <x:c r="BA75" s="25"/>
    </x:row>
    <x:row r="76">
      <x:c r="A76" s="78" t="str">
        <x:f>IF(B76="","",ROW()-5)</x:f>
      </x:c>
      <x:c r="B76" s="80"/>
      <x:c r="C76" s="78" t="str">
        <x:f>IF(B76="","",YEAR(B76))</x:f>
      </x:c>
      <x:c r="D76" s="78" t="str">
        <x:f>IF(B76="","",CHOOSE(MONTH(B76),"Janvier","Février","Mars","Avril","Mai","Juin","Juillet","Août","Septembre","Octobre","Novembre","Décembre"))</x:f>
      </x:c>
      <x:c r="E76" s="78" t="str">
        <x:f>IF(B76="","",WEEKNUM(B76,2))</x:f>
      </x:c>
      <x:c r="F76" s="78" t="str">
        <x:f>IF(B76="","",CHOOSE(WEEKDAY(B76,2),"Lundi","Mardi","Mercredi","Jeudi","Vendredi","Samedi","Dimanche"))</x:f>
      </x:c>
      <x:c r="G76" s="82"/>
      <x:c r="H76" s="78" t="str">
        <x:f>IF(G76="","",IF(G76&lt;TIME(11,0,0),"Matin",IF(G76&lt;TIME(15,0,0),"Midi",IF(G76&lt;TIME(18,0,0),"Après-midi","Soir"))))</x:f>
      </x:c>
      <x:c r="I76" s="25"/>
      <x:c r="J76" s="25"/>
      <x:c r="K76" s="25"/>
      <x:c r="L76" s="25"/>
      <x:c r="M76" s="25"/>
      <x:c r="N76" s="25"/>
      <x:c r="O76" s="80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  <x:c r="AA76" s="25"/>
      <x:c r="AB76" s="25"/>
      <x:c r="AC76" s="92"/>
      <x:c r="AD76" s="92"/>
      <x:c r="AE76" s="92"/>
      <x:c r="AF76" s="92"/>
      <x:c r="AG76" s="92"/>
      <x:c r="AH76" s="92"/>
      <x:c r="AI76" s="92"/>
      <x:c r="AJ76" s="92"/>
      <x:c r="AK76" s="94" t="str">
        <x:f>IF(B76="","",SUM(AG76:AJ76))</x:f>
      </x:c>
      <x:c r="AL76" s="84" t="n">
        <x:f>IFERROR(AK76/AD76,0)</x:f>
        <x:v>0</x:v>
      </x:c>
      <x:c r="AM76" s="92"/>
      <x:c r="AN76" s="92"/>
      <x:c r="AO76" s="92"/>
      <x:c r="AP76" s="92"/>
      <x:c r="AQ76" s="25"/>
      <x:c r="AR76" s="25"/>
      <x:c r="AS76" s="86"/>
      <x:c r="AT76" s="86"/>
      <x:c r="AU76" s="86"/>
      <x:c r="AV76" s="90"/>
      <x:c r="AW76" s="86"/>
      <x:c r="AX76" s="88" t="str">
        <x:f>IF(B76="","",AV76*'Paramètres'!$B$4+AW76)</x:f>
      </x:c>
      <x:c r="AY76" s="25"/>
      <x:c r="AZ76" s="25"/>
      <x:c r="BA76" s="25"/>
    </x:row>
    <x:row r="77">
      <x:c r="A77" s="78" t="str">
        <x:f>IF(B77="","",ROW()-5)</x:f>
      </x:c>
      <x:c r="B77" s="80"/>
      <x:c r="C77" s="78" t="str">
        <x:f>IF(B77="","",YEAR(B77))</x:f>
      </x:c>
      <x:c r="D77" s="78" t="str">
        <x:f>IF(B77="","",CHOOSE(MONTH(B77),"Janvier","Février","Mars","Avril","Mai","Juin","Juillet","Août","Septembre","Octobre","Novembre","Décembre"))</x:f>
      </x:c>
      <x:c r="E77" s="78" t="str">
        <x:f>IF(B77="","",WEEKNUM(B77,2))</x:f>
      </x:c>
      <x:c r="F77" s="78" t="str">
        <x:f>IF(B77="","",CHOOSE(WEEKDAY(B77,2),"Lundi","Mardi","Mercredi","Jeudi","Vendredi","Samedi","Dimanche"))</x:f>
      </x:c>
      <x:c r="G77" s="82"/>
      <x:c r="H77" s="78" t="str">
        <x:f>IF(G77="","",IF(G77&lt;TIME(11,0,0),"Matin",IF(G77&lt;TIME(15,0,0),"Midi",IF(G77&lt;TIME(18,0,0),"Après-midi","Soir"))))</x:f>
      </x:c>
      <x:c r="I77" s="25"/>
      <x:c r="J77" s="25"/>
      <x:c r="K77" s="25"/>
      <x:c r="L77" s="25"/>
      <x:c r="M77" s="25"/>
      <x:c r="N77" s="25"/>
      <x:c r="O77" s="80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  <x:c r="AA77" s="25"/>
      <x:c r="AB77" s="25"/>
      <x:c r="AC77" s="92"/>
      <x:c r="AD77" s="92"/>
      <x:c r="AE77" s="92"/>
      <x:c r="AF77" s="92"/>
      <x:c r="AG77" s="92"/>
      <x:c r="AH77" s="92"/>
      <x:c r="AI77" s="92"/>
      <x:c r="AJ77" s="92"/>
      <x:c r="AK77" s="94" t="str">
        <x:f>IF(B77="","",SUM(AG77:AJ77))</x:f>
      </x:c>
      <x:c r="AL77" s="84" t="n">
        <x:f>IFERROR(AK77/AD77,0)</x:f>
        <x:v>0</x:v>
      </x:c>
      <x:c r="AM77" s="92"/>
      <x:c r="AN77" s="92"/>
      <x:c r="AO77" s="92"/>
      <x:c r="AP77" s="92"/>
      <x:c r="AQ77" s="25"/>
      <x:c r="AR77" s="25"/>
      <x:c r="AS77" s="86"/>
      <x:c r="AT77" s="86"/>
      <x:c r="AU77" s="86"/>
      <x:c r="AV77" s="90"/>
      <x:c r="AW77" s="86"/>
      <x:c r="AX77" s="88" t="str">
        <x:f>IF(B77="","",AV77*'Paramètres'!$B$4+AW77)</x:f>
      </x:c>
      <x:c r="AY77" s="25"/>
      <x:c r="AZ77" s="25"/>
      <x:c r="BA77" s="25"/>
    </x:row>
    <x:row r="78">
      <x:c r="A78" s="78" t="str">
        <x:f>IF(B78="","",ROW()-5)</x:f>
      </x:c>
      <x:c r="B78" s="80"/>
      <x:c r="C78" s="78" t="str">
        <x:f>IF(B78="","",YEAR(B78))</x:f>
      </x:c>
      <x:c r="D78" s="78" t="str">
        <x:f>IF(B78="","",CHOOSE(MONTH(B78),"Janvier","Février","Mars","Avril","Mai","Juin","Juillet","Août","Septembre","Octobre","Novembre","Décembre"))</x:f>
      </x:c>
      <x:c r="E78" s="78" t="str">
        <x:f>IF(B78="","",WEEKNUM(B78,2))</x:f>
      </x:c>
      <x:c r="F78" s="78" t="str">
        <x:f>IF(B78="","",CHOOSE(WEEKDAY(B78,2),"Lundi","Mardi","Mercredi","Jeudi","Vendredi","Samedi","Dimanche"))</x:f>
      </x:c>
      <x:c r="G78" s="82"/>
      <x:c r="H78" s="78" t="str">
        <x:f>IF(G78="","",IF(G78&lt;TIME(11,0,0),"Matin",IF(G78&lt;TIME(15,0,0),"Midi",IF(G78&lt;TIME(18,0,0),"Après-midi","Soir"))))</x:f>
      </x:c>
      <x:c r="I78" s="25"/>
      <x:c r="J78" s="25"/>
      <x:c r="K78" s="25"/>
      <x:c r="L78" s="25"/>
      <x:c r="M78" s="25"/>
      <x:c r="N78" s="25"/>
      <x:c r="O78" s="80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  <x:c r="AA78" s="25"/>
      <x:c r="AB78" s="25"/>
      <x:c r="AC78" s="92"/>
      <x:c r="AD78" s="92"/>
      <x:c r="AE78" s="92"/>
      <x:c r="AF78" s="92"/>
      <x:c r="AG78" s="92"/>
      <x:c r="AH78" s="92"/>
      <x:c r="AI78" s="92"/>
      <x:c r="AJ78" s="92"/>
      <x:c r="AK78" s="94" t="str">
        <x:f>IF(B78="","",SUM(AG78:AJ78))</x:f>
      </x:c>
      <x:c r="AL78" s="84" t="n">
        <x:f>IFERROR(AK78/AD78,0)</x:f>
        <x:v>0</x:v>
      </x:c>
      <x:c r="AM78" s="92"/>
      <x:c r="AN78" s="92"/>
      <x:c r="AO78" s="92"/>
      <x:c r="AP78" s="92"/>
      <x:c r="AQ78" s="25"/>
      <x:c r="AR78" s="25"/>
      <x:c r="AS78" s="86"/>
      <x:c r="AT78" s="86"/>
      <x:c r="AU78" s="86"/>
      <x:c r="AV78" s="90"/>
      <x:c r="AW78" s="86"/>
      <x:c r="AX78" s="88" t="str">
        <x:f>IF(B78="","",AV78*'Paramètres'!$B$4+AW78)</x:f>
      </x:c>
      <x:c r="AY78" s="25"/>
      <x:c r="AZ78" s="25"/>
      <x:c r="BA78" s="25"/>
    </x:row>
    <x:row r="79">
      <x:c r="A79" s="78" t="str">
        <x:f>IF(B79="","",ROW()-5)</x:f>
      </x:c>
      <x:c r="B79" s="80"/>
      <x:c r="C79" s="78" t="str">
        <x:f>IF(B79="","",YEAR(B79))</x:f>
      </x:c>
      <x:c r="D79" s="78" t="str">
        <x:f>IF(B79="","",CHOOSE(MONTH(B79),"Janvier","Février","Mars","Avril","Mai","Juin","Juillet","Août","Septembre","Octobre","Novembre","Décembre"))</x:f>
      </x:c>
      <x:c r="E79" s="78" t="str">
        <x:f>IF(B79="","",WEEKNUM(B79,2))</x:f>
      </x:c>
      <x:c r="F79" s="78" t="str">
        <x:f>IF(B79="","",CHOOSE(WEEKDAY(B79,2),"Lundi","Mardi","Mercredi","Jeudi","Vendredi","Samedi","Dimanche"))</x:f>
      </x:c>
      <x:c r="G79" s="82"/>
      <x:c r="H79" s="78" t="str">
        <x:f>IF(G79="","",IF(G79&lt;TIME(11,0,0),"Matin",IF(G79&lt;TIME(15,0,0),"Midi",IF(G79&lt;TIME(18,0,0),"Après-midi","Soir"))))</x:f>
      </x:c>
      <x:c r="I79" s="25"/>
      <x:c r="J79" s="25"/>
      <x:c r="K79" s="25"/>
      <x:c r="L79" s="25"/>
      <x:c r="M79" s="25"/>
      <x:c r="N79" s="25"/>
      <x:c r="O79" s="80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  <x:c r="AA79" s="25"/>
      <x:c r="AB79" s="25"/>
      <x:c r="AC79" s="92"/>
      <x:c r="AD79" s="92"/>
      <x:c r="AE79" s="92"/>
      <x:c r="AF79" s="92"/>
      <x:c r="AG79" s="92"/>
      <x:c r="AH79" s="92"/>
      <x:c r="AI79" s="92"/>
      <x:c r="AJ79" s="92"/>
      <x:c r="AK79" s="94" t="str">
        <x:f>IF(B79="","",SUM(AG79:AJ79))</x:f>
      </x:c>
      <x:c r="AL79" s="84" t="n">
        <x:f>IFERROR(AK79/AD79,0)</x:f>
        <x:v>0</x:v>
      </x:c>
      <x:c r="AM79" s="92"/>
      <x:c r="AN79" s="92"/>
      <x:c r="AO79" s="92"/>
      <x:c r="AP79" s="92"/>
      <x:c r="AQ79" s="25"/>
      <x:c r="AR79" s="25"/>
      <x:c r="AS79" s="86"/>
      <x:c r="AT79" s="86"/>
      <x:c r="AU79" s="86"/>
      <x:c r="AV79" s="90"/>
      <x:c r="AW79" s="86"/>
      <x:c r="AX79" s="88" t="str">
        <x:f>IF(B79="","",AV79*'Paramètres'!$B$4+AW79)</x:f>
      </x:c>
      <x:c r="AY79" s="25"/>
      <x:c r="AZ79" s="25"/>
      <x:c r="BA79" s="25"/>
    </x:row>
    <x:row r="80">
      <x:c r="A80" s="78" t="str">
        <x:f>IF(B80="","",ROW()-5)</x:f>
      </x:c>
      <x:c r="B80" s="80"/>
      <x:c r="C80" s="78" t="str">
        <x:f>IF(B80="","",YEAR(B80))</x:f>
      </x:c>
      <x:c r="D80" s="78" t="str">
        <x:f>IF(B80="","",CHOOSE(MONTH(B80),"Janvier","Février","Mars","Avril","Mai","Juin","Juillet","Août","Septembre","Octobre","Novembre","Décembre"))</x:f>
      </x:c>
      <x:c r="E80" s="78" t="str">
        <x:f>IF(B80="","",WEEKNUM(B80,2))</x:f>
      </x:c>
      <x:c r="F80" s="78" t="str">
        <x:f>IF(B80="","",CHOOSE(WEEKDAY(B80,2),"Lundi","Mardi","Mercredi","Jeudi","Vendredi","Samedi","Dimanche"))</x:f>
      </x:c>
      <x:c r="G80" s="82"/>
      <x:c r="H80" s="78" t="str">
        <x:f>IF(G80="","",IF(G80&lt;TIME(11,0,0),"Matin",IF(G80&lt;TIME(15,0,0),"Midi",IF(G80&lt;TIME(18,0,0),"Après-midi","Soir"))))</x:f>
      </x:c>
      <x:c r="I80" s="25"/>
      <x:c r="J80" s="25"/>
      <x:c r="K80" s="25"/>
      <x:c r="L80" s="25"/>
      <x:c r="M80" s="25"/>
      <x:c r="N80" s="25"/>
      <x:c r="O80" s="80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  <x:c r="AA80" s="25"/>
      <x:c r="AB80" s="25"/>
      <x:c r="AC80" s="92"/>
      <x:c r="AD80" s="92"/>
      <x:c r="AE80" s="92"/>
      <x:c r="AF80" s="92"/>
      <x:c r="AG80" s="92"/>
      <x:c r="AH80" s="92"/>
      <x:c r="AI80" s="92"/>
      <x:c r="AJ80" s="92"/>
      <x:c r="AK80" s="94" t="str">
        <x:f>IF(B80="","",SUM(AG80:AJ80))</x:f>
      </x:c>
      <x:c r="AL80" s="84" t="n">
        <x:f>IFERROR(AK80/AD80,0)</x:f>
        <x:v>0</x:v>
      </x:c>
      <x:c r="AM80" s="92"/>
      <x:c r="AN80" s="92"/>
      <x:c r="AO80" s="92"/>
      <x:c r="AP80" s="92"/>
      <x:c r="AQ80" s="25"/>
      <x:c r="AR80" s="25"/>
      <x:c r="AS80" s="86"/>
      <x:c r="AT80" s="86"/>
      <x:c r="AU80" s="86"/>
      <x:c r="AV80" s="90"/>
      <x:c r="AW80" s="86"/>
      <x:c r="AX80" s="88" t="str">
        <x:f>IF(B80="","",AV80*'Paramètres'!$B$4+AW80)</x:f>
      </x:c>
      <x:c r="AY80" s="25"/>
      <x:c r="AZ80" s="25"/>
      <x:c r="BA80" s="25"/>
    </x:row>
    <x:row r="81">
      <x:c r="A81" s="78" t="str">
        <x:f>IF(B81="","",ROW()-5)</x:f>
      </x:c>
      <x:c r="B81" s="80"/>
      <x:c r="C81" s="78" t="str">
        <x:f>IF(B81="","",YEAR(B81))</x:f>
      </x:c>
      <x:c r="D81" s="78" t="str">
        <x:f>IF(B81="","",CHOOSE(MONTH(B81),"Janvier","Février","Mars","Avril","Mai","Juin","Juillet","Août","Septembre","Octobre","Novembre","Décembre"))</x:f>
      </x:c>
      <x:c r="E81" s="78" t="str">
        <x:f>IF(B81="","",WEEKNUM(B81,2))</x:f>
      </x:c>
      <x:c r="F81" s="78" t="str">
        <x:f>IF(B81="","",CHOOSE(WEEKDAY(B81,2),"Lundi","Mardi","Mercredi","Jeudi","Vendredi","Samedi","Dimanche"))</x:f>
      </x:c>
      <x:c r="G81" s="82"/>
      <x:c r="H81" s="78" t="str">
        <x:f>IF(G81="","",IF(G81&lt;TIME(11,0,0),"Matin",IF(G81&lt;TIME(15,0,0),"Midi",IF(G81&lt;TIME(18,0,0),"Après-midi","Soir"))))</x:f>
      </x:c>
      <x:c r="I81" s="25"/>
      <x:c r="J81" s="25"/>
      <x:c r="K81" s="25"/>
      <x:c r="L81" s="25"/>
      <x:c r="M81" s="25"/>
      <x:c r="N81" s="25"/>
      <x:c r="O81" s="80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  <x:c r="AA81" s="25"/>
      <x:c r="AB81" s="25"/>
      <x:c r="AC81" s="92"/>
      <x:c r="AD81" s="92"/>
      <x:c r="AE81" s="92"/>
      <x:c r="AF81" s="92"/>
      <x:c r="AG81" s="92"/>
      <x:c r="AH81" s="92"/>
      <x:c r="AI81" s="92"/>
      <x:c r="AJ81" s="92"/>
      <x:c r="AK81" s="94" t="str">
        <x:f>IF(B81="","",SUM(AG81:AJ81))</x:f>
      </x:c>
      <x:c r="AL81" s="84" t="n">
        <x:f>IFERROR(AK81/AD81,0)</x:f>
        <x:v>0</x:v>
      </x:c>
      <x:c r="AM81" s="92"/>
      <x:c r="AN81" s="92"/>
      <x:c r="AO81" s="92"/>
      <x:c r="AP81" s="92"/>
      <x:c r="AQ81" s="25"/>
      <x:c r="AR81" s="25"/>
      <x:c r="AS81" s="86"/>
      <x:c r="AT81" s="86"/>
      <x:c r="AU81" s="86"/>
      <x:c r="AV81" s="90"/>
      <x:c r="AW81" s="86"/>
      <x:c r="AX81" s="88" t="str">
        <x:f>IF(B81="","",AV81*'Paramètres'!$B$4+AW81)</x:f>
      </x:c>
      <x:c r="AY81" s="25"/>
      <x:c r="AZ81" s="25"/>
      <x:c r="BA81" s="25"/>
    </x:row>
    <x:row r="82">
      <x:c r="A82" s="78" t="str">
        <x:f>IF(B82="","",ROW()-5)</x:f>
      </x:c>
      <x:c r="B82" s="80"/>
      <x:c r="C82" s="78" t="str">
        <x:f>IF(B82="","",YEAR(B82))</x:f>
      </x:c>
      <x:c r="D82" s="78" t="str">
        <x:f>IF(B82="","",CHOOSE(MONTH(B82),"Janvier","Février","Mars","Avril","Mai","Juin","Juillet","Août","Septembre","Octobre","Novembre","Décembre"))</x:f>
      </x:c>
      <x:c r="E82" s="78" t="str">
        <x:f>IF(B82="","",WEEKNUM(B82,2))</x:f>
      </x:c>
      <x:c r="F82" s="78" t="str">
        <x:f>IF(B82="","",CHOOSE(WEEKDAY(B82,2),"Lundi","Mardi","Mercredi","Jeudi","Vendredi","Samedi","Dimanche"))</x:f>
      </x:c>
      <x:c r="G82" s="82"/>
      <x:c r="H82" s="78" t="str">
        <x:f>IF(G82="","",IF(G82&lt;TIME(11,0,0),"Matin",IF(G82&lt;TIME(15,0,0),"Midi",IF(G82&lt;TIME(18,0,0),"Après-midi","Soir"))))</x:f>
      </x:c>
      <x:c r="I82" s="25"/>
      <x:c r="J82" s="25"/>
      <x:c r="K82" s="25"/>
      <x:c r="L82" s="25"/>
      <x:c r="M82" s="25"/>
      <x:c r="N82" s="25"/>
      <x:c r="O82" s="80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  <x:c r="AA82" s="25"/>
      <x:c r="AB82" s="25"/>
      <x:c r="AC82" s="92"/>
      <x:c r="AD82" s="92"/>
      <x:c r="AE82" s="92"/>
      <x:c r="AF82" s="92"/>
      <x:c r="AG82" s="92"/>
      <x:c r="AH82" s="92"/>
      <x:c r="AI82" s="92"/>
      <x:c r="AJ82" s="92"/>
      <x:c r="AK82" s="94" t="str">
        <x:f>IF(B82="","",SUM(AG82:AJ82))</x:f>
      </x:c>
      <x:c r="AL82" s="84" t="n">
        <x:f>IFERROR(AK82/AD82,0)</x:f>
        <x:v>0</x:v>
      </x:c>
      <x:c r="AM82" s="92"/>
      <x:c r="AN82" s="92"/>
      <x:c r="AO82" s="92"/>
      <x:c r="AP82" s="92"/>
      <x:c r="AQ82" s="25"/>
      <x:c r="AR82" s="25"/>
      <x:c r="AS82" s="86"/>
      <x:c r="AT82" s="86"/>
      <x:c r="AU82" s="86"/>
      <x:c r="AV82" s="90"/>
      <x:c r="AW82" s="86"/>
      <x:c r="AX82" s="88" t="str">
        <x:f>IF(B82="","",AV82*'Paramètres'!$B$4+AW82)</x:f>
      </x:c>
      <x:c r="AY82" s="25"/>
      <x:c r="AZ82" s="25"/>
      <x:c r="BA82" s="25"/>
    </x:row>
    <x:row r="83">
      <x:c r="A83" s="78" t="str">
        <x:f>IF(B83="","",ROW()-5)</x:f>
      </x:c>
      <x:c r="B83" s="80"/>
      <x:c r="C83" s="78" t="str">
        <x:f>IF(B83="","",YEAR(B83))</x:f>
      </x:c>
      <x:c r="D83" s="78" t="str">
        <x:f>IF(B83="","",CHOOSE(MONTH(B83),"Janvier","Février","Mars","Avril","Mai","Juin","Juillet","Août","Septembre","Octobre","Novembre","Décembre"))</x:f>
      </x:c>
      <x:c r="E83" s="78" t="str">
        <x:f>IF(B83="","",WEEKNUM(B83,2))</x:f>
      </x:c>
      <x:c r="F83" s="78" t="str">
        <x:f>IF(B83="","",CHOOSE(WEEKDAY(B83,2),"Lundi","Mardi","Mercredi","Jeudi","Vendredi","Samedi","Dimanche"))</x:f>
      </x:c>
      <x:c r="G83" s="82"/>
      <x:c r="H83" s="78" t="str">
        <x:f>IF(G83="","",IF(G83&lt;TIME(11,0,0),"Matin",IF(G83&lt;TIME(15,0,0),"Midi",IF(G83&lt;TIME(18,0,0),"Après-midi","Soir"))))</x:f>
      </x:c>
      <x:c r="I83" s="25"/>
      <x:c r="J83" s="25"/>
      <x:c r="K83" s="25"/>
      <x:c r="L83" s="25"/>
      <x:c r="M83" s="25"/>
      <x:c r="N83" s="25"/>
      <x:c r="O83" s="80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  <x:c r="AA83" s="25"/>
      <x:c r="AB83" s="25"/>
      <x:c r="AC83" s="92"/>
      <x:c r="AD83" s="92"/>
      <x:c r="AE83" s="92"/>
      <x:c r="AF83" s="92"/>
      <x:c r="AG83" s="92"/>
      <x:c r="AH83" s="92"/>
      <x:c r="AI83" s="92"/>
      <x:c r="AJ83" s="92"/>
      <x:c r="AK83" s="94" t="str">
        <x:f>IF(B83="","",SUM(AG83:AJ83))</x:f>
      </x:c>
      <x:c r="AL83" s="84" t="n">
        <x:f>IFERROR(AK83/AD83,0)</x:f>
        <x:v>0</x:v>
      </x:c>
      <x:c r="AM83" s="92"/>
      <x:c r="AN83" s="92"/>
      <x:c r="AO83" s="92"/>
      <x:c r="AP83" s="92"/>
      <x:c r="AQ83" s="25"/>
      <x:c r="AR83" s="25"/>
      <x:c r="AS83" s="86"/>
      <x:c r="AT83" s="86"/>
      <x:c r="AU83" s="86"/>
      <x:c r="AV83" s="90"/>
      <x:c r="AW83" s="86"/>
      <x:c r="AX83" s="88" t="str">
        <x:f>IF(B83="","",AV83*'Paramètres'!$B$4+AW83)</x:f>
      </x:c>
      <x:c r="AY83" s="25"/>
      <x:c r="AZ83" s="25"/>
      <x:c r="BA83" s="25"/>
    </x:row>
    <x:row r="84">
      <x:c r="A84" s="78" t="str">
        <x:f>IF(B84="","",ROW()-5)</x:f>
      </x:c>
      <x:c r="B84" s="80"/>
      <x:c r="C84" s="78" t="str">
        <x:f>IF(B84="","",YEAR(B84))</x:f>
      </x:c>
      <x:c r="D84" s="78" t="str">
        <x:f>IF(B84="","",CHOOSE(MONTH(B84),"Janvier","Février","Mars","Avril","Mai","Juin","Juillet","Août","Septembre","Octobre","Novembre","Décembre"))</x:f>
      </x:c>
      <x:c r="E84" s="78" t="str">
        <x:f>IF(B84="","",WEEKNUM(B84,2))</x:f>
      </x:c>
      <x:c r="F84" s="78" t="str">
        <x:f>IF(B84="","",CHOOSE(WEEKDAY(B84,2),"Lundi","Mardi","Mercredi","Jeudi","Vendredi","Samedi","Dimanche"))</x:f>
      </x:c>
      <x:c r="G84" s="82"/>
      <x:c r="H84" s="78" t="str">
        <x:f>IF(G84="","",IF(G84&lt;TIME(11,0,0),"Matin",IF(G84&lt;TIME(15,0,0),"Midi",IF(G84&lt;TIME(18,0,0),"Après-midi","Soir"))))</x:f>
      </x:c>
      <x:c r="I84" s="25"/>
      <x:c r="J84" s="25"/>
      <x:c r="K84" s="25"/>
      <x:c r="L84" s="25"/>
      <x:c r="M84" s="25"/>
      <x:c r="N84" s="25"/>
      <x:c r="O84" s="80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  <x:c r="AA84" s="25"/>
      <x:c r="AB84" s="25"/>
      <x:c r="AC84" s="92"/>
      <x:c r="AD84" s="92"/>
      <x:c r="AE84" s="92"/>
      <x:c r="AF84" s="92"/>
      <x:c r="AG84" s="92"/>
      <x:c r="AH84" s="92"/>
      <x:c r="AI84" s="92"/>
      <x:c r="AJ84" s="92"/>
      <x:c r="AK84" s="94" t="str">
        <x:f>IF(B84="","",SUM(AG84:AJ84))</x:f>
      </x:c>
      <x:c r="AL84" s="84" t="n">
        <x:f>IFERROR(AK84/AD84,0)</x:f>
        <x:v>0</x:v>
      </x:c>
      <x:c r="AM84" s="92"/>
      <x:c r="AN84" s="92"/>
      <x:c r="AO84" s="92"/>
      <x:c r="AP84" s="92"/>
      <x:c r="AQ84" s="25"/>
      <x:c r="AR84" s="25"/>
      <x:c r="AS84" s="86"/>
      <x:c r="AT84" s="86"/>
      <x:c r="AU84" s="86"/>
      <x:c r="AV84" s="90"/>
      <x:c r="AW84" s="86"/>
      <x:c r="AX84" s="88" t="str">
        <x:f>IF(B84="","",AV84*'Paramètres'!$B$4+AW84)</x:f>
      </x:c>
      <x:c r="AY84" s="25"/>
      <x:c r="AZ84" s="25"/>
      <x:c r="BA84" s="25"/>
    </x:row>
    <x:row r="85">
      <x:c r="A85" s="78" t="str">
        <x:f>IF(B85="","",ROW()-5)</x:f>
      </x:c>
      <x:c r="B85" s="80"/>
      <x:c r="C85" s="78" t="str">
        <x:f>IF(B85="","",YEAR(B85))</x:f>
      </x:c>
      <x:c r="D85" s="78" t="str">
        <x:f>IF(B85="","",CHOOSE(MONTH(B85),"Janvier","Février","Mars","Avril","Mai","Juin","Juillet","Août","Septembre","Octobre","Novembre","Décembre"))</x:f>
      </x:c>
      <x:c r="E85" s="78" t="str">
        <x:f>IF(B85="","",WEEKNUM(B85,2))</x:f>
      </x:c>
      <x:c r="F85" s="78" t="str">
        <x:f>IF(B85="","",CHOOSE(WEEKDAY(B85,2),"Lundi","Mardi","Mercredi","Jeudi","Vendredi","Samedi","Dimanche"))</x:f>
      </x:c>
      <x:c r="G85" s="82"/>
      <x:c r="H85" s="78" t="str">
        <x:f>IF(G85="","",IF(G85&lt;TIME(11,0,0),"Matin",IF(G85&lt;TIME(15,0,0),"Midi",IF(G85&lt;TIME(18,0,0),"Après-midi","Soir"))))</x:f>
      </x:c>
      <x:c r="I85" s="25"/>
      <x:c r="J85" s="25"/>
      <x:c r="K85" s="25"/>
      <x:c r="L85" s="25"/>
      <x:c r="M85" s="25"/>
      <x:c r="N85" s="25"/>
      <x:c r="O85" s="80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  <x:c r="AA85" s="25"/>
      <x:c r="AB85" s="25"/>
      <x:c r="AC85" s="92"/>
      <x:c r="AD85" s="92"/>
      <x:c r="AE85" s="92"/>
      <x:c r="AF85" s="92"/>
      <x:c r="AG85" s="92"/>
      <x:c r="AH85" s="92"/>
      <x:c r="AI85" s="92"/>
      <x:c r="AJ85" s="92"/>
      <x:c r="AK85" s="94" t="str">
        <x:f>IF(B85="","",SUM(AG85:AJ85))</x:f>
      </x:c>
      <x:c r="AL85" s="84" t="n">
        <x:f>IFERROR(AK85/AD85,0)</x:f>
        <x:v>0</x:v>
      </x:c>
      <x:c r="AM85" s="92"/>
      <x:c r="AN85" s="92"/>
      <x:c r="AO85" s="92"/>
      <x:c r="AP85" s="92"/>
      <x:c r="AQ85" s="25"/>
      <x:c r="AR85" s="25"/>
      <x:c r="AS85" s="86"/>
      <x:c r="AT85" s="86"/>
      <x:c r="AU85" s="86"/>
      <x:c r="AV85" s="90"/>
      <x:c r="AW85" s="86"/>
      <x:c r="AX85" s="88" t="str">
        <x:f>IF(B85="","",AV85*'Paramètres'!$B$4+AW85)</x:f>
      </x:c>
      <x:c r="AY85" s="25"/>
      <x:c r="AZ85" s="25"/>
      <x:c r="BA85" s="25"/>
    </x:row>
    <x:row r="86">
      <x:c r="A86" s="78" t="str">
        <x:f>IF(B86="","",ROW()-5)</x:f>
      </x:c>
      <x:c r="B86" s="80"/>
      <x:c r="C86" s="78" t="str">
        <x:f>IF(B86="","",YEAR(B86))</x:f>
      </x:c>
      <x:c r="D86" s="78" t="str">
        <x:f>IF(B86="","",CHOOSE(MONTH(B86),"Janvier","Février","Mars","Avril","Mai","Juin","Juillet","Août","Septembre","Octobre","Novembre","Décembre"))</x:f>
      </x:c>
      <x:c r="E86" s="78" t="str">
        <x:f>IF(B86="","",WEEKNUM(B86,2))</x:f>
      </x:c>
      <x:c r="F86" s="78" t="str">
        <x:f>IF(B86="","",CHOOSE(WEEKDAY(B86,2),"Lundi","Mardi","Mercredi","Jeudi","Vendredi","Samedi","Dimanche"))</x:f>
      </x:c>
      <x:c r="G86" s="82"/>
      <x:c r="H86" s="78" t="str">
        <x:f>IF(G86="","",IF(G86&lt;TIME(11,0,0),"Matin",IF(G86&lt;TIME(15,0,0),"Midi",IF(G86&lt;TIME(18,0,0),"Après-midi","Soir"))))</x:f>
      </x:c>
      <x:c r="I86" s="25"/>
      <x:c r="J86" s="25"/>
      <x:c r="K86" s="25"/>
      <x:c r="L86" s="25"/>
      <x:c r="M86" s="25"/>
      <x:c r="N86" s="25"/>
      <x:c r="O86" s="80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  <x:c r="AA86" s="25"/>
      <x:c r="AB86" s="25"/>
      <x:c r="AC86" s="92"/>
      <x:c r="AD86" s="92"/>
      <x:c r="AE86" s="92"/>
      <x:c r="AF86" s="92"/>
      <x:c r="AG86" s="92"/>
      <x:c r="AH86" s="92"/>
      <x:c r="AI86" s="92"/>
      <x:c r="AJ86" s="92"/>
      <x:c r="AK86" s="94" t="str">
        <x:f>IF(B86="","",SUM(AG86:AJ86))</x:f>
      </x:c>
      <x:c r="AL86" s="84" t="n">
        <x:f>IFERROR(AK86/AD86,0)</x:f>
        <x:v>0</x:v>
      </x:c>
      <x:c r="AM86" s="92"/>
      <x:c r="AN86" s="92"/>
      <x:c r="AO86" s="92"/>
      <x:c r="AP86" s="92"/>
      <x:c r="AQ86" s="25"/>
      <x:c r="AR86" s="25"/>
      <x:c r="AS86" s="86"/>
      <x:c r="AT86" s="86"/>
      <x:c r="AU86" s="86"/>
      <x:c r="AV86" s="90"/>
      <x:c r="AW86" s="86"/>
      <x:c r="AX86" s="88" t="str">
        <x:f>IF(B86="","",AV86*'Paramètres'!$B$4+AW86)</x:f>
      </x:c>
      <x:c r="AY86" s="25"/>
      <x:c r="AZ86" s="25"/>
      <x:c r="BA86" s="25"/>
    </x:row>
    <x:row r="87">
      <x:c r="A87" s="78" t="str">
        <x:f>IF(B87="","",ROW()-5)</x:f>
      </x:c>
      <x:c r="B87" s="80"/>
      <x:c r="C87" s="78" t="str">
        <x:f>IF(B87="","",YEAR(B87))</x:f>
      </x:c>
      <x:c r="D87" s="78" t="str">
        <x:f>IF(B87="","",CHOOSE(MONTH(B87),"Janvier","Février","Mars","Avril","Mai","Juin","Juillet","Août","Septembre","Octobre","Novembre","Décembre"))</x:f>
      </x:c>
      <x:c r="E87" s="78" t="str">
        <x:f>IF(B87="","",WEEKNUM(B87,2))</x:f>
      </x:c>
      <x:c r="F87" s="78" t="str">
        <x:f>IF(B87="","",CHOOSE(WEEKDAY(B87,2),"Lundi","Mardi","Mercredi","Jeudi","Vendredi","Samedi","Dimanche"))</x:f>
      </x:c>
      <x:c r="G87" s="82"/>
      <x:c r="H87" s="78" t="str">
        <x:f>IF(G87="","",IF(G87&lt;TIME(11,0,0),"Matin",IF(G87&lt;TIME(15,0,0),"Midi",IF(G87&lt;TIME(18,0,0),"Après-midi","Soir"))))</x:f>
      </x:c>
      <x:c r="I87" s="25"/>
      <x:c r="J87" s="25"/>
      <x:c r="K87" s="25"/>
      <x:c r="L87" s="25"/>
      <x:c r="M87" s="25"/>
      <x:c r="N87" s="25"/>
      <x:c r="O87" s="80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  <x:c r="AA87" s="25"/>
      <x:c r="AB87" s="25"/>
      <x:c r="AC87" s="92"/>
      <x:c r="AD87" s="92"/>
      <x:c r="AE87" s="92"/>
      <x:c r="AF87" s="92"/>
      <x:c r="AG87" s="92"/>
      <x:c r="AH87" s="92"/>
      <x:c r="AI87" s="92"/>
      <x:c r="AJ87" s="92"/>
      <x:c r="AK87" s="94" t="str">
        <x:f>IF(B87="","",SUM(AG87:AJ87))</x:f>
      </x:c>
      <x:c r="AL87" s="84" t="n">
        <x:f>IFERROR(AK87/AD87,0)</x:f>
        <x:v>0</x:v>
      </x:c>
      <x:c r="AM87" s="92"/>
      <x:c r="AN87" s="92"/>
      <x:c r="AO87" s="92"/>
      <x:c r="AP87" s="92"/>
      <x:c r="AQ87" s="25"/>
      <x:c r="AR87" s="25"/>
      <x:c r="AS87" s="86"/>
      <x:c r="AT87" s="86"/>
      <x:c r="AU87" s="86"/>
      <x:c r="AV87" s="90"/>
      <x:c r="AW87" s="86"/>
      <x:c r="AX87" s="88" t="str">
        <x:f>IF(B87="","",AV87*'Paramètres'!$B$4+AW87)</x:f>
      </x:c>
      <x:c r="AY87" s="25"/>
      <x:c r="AZ87" s="25"/>
      <x:c r="BA87" s="25"/>
    </x:row>
    <x:row r="88">
      <x:c r="A88" s="78" t="str">
        <x:f>IF(B88="","",ROW()-5)</x:f>
      </x:c>
      <x:c r="B88" s="80"/>
      <x:c r="C88" s="78" t="str">
        <x:f>IF(B88="","",YEAR(B88))</x:f>
      </x:c>
      <x:c r="D88" s="78" t="str">
        <x:f>IF(B88="","",CHOOSE(MONTH(B88),"Janvier","Février","Mars","Avril","Mai","Juin","Juillet","Août","Septembre","Octobre","Novembre","Décembre"))</x:f>
      </x:c>
      <x:c r="E88" s="78" t="str">
        <x:f>IF(B88="","",WEEKNUM(B88,2))</x:f>
      </x:c>
      <x:c r="F88" s="78" t="str">
        <x:f>IF(B88="","",CHOOSE(WEEKDAY(B88,2),"Lundi","Mardi","Mercredi","Jeudi","Vendredi","Samedi","Dimanche"))</x:f>
      </x:c>
      <x:c r="G88" s="82"/>
      <x:c r="H88" s="78" t="str">
        <x:f>IF(G88="","",IF(G88&lt;TIME(11,0,0),"Matin",IF(G88&lt;TIME(15,0,0),"Midi",IF(G88&lt;TIME(18,0,0),"Après-midi","Soir"))))</x:f>
      </x:c>
      <x:c r="I88" s="25"/>
      <x:c r="J88" s="25"/>
      <x:c r="K88" s="25"/>
      <x:c r="L88" s="25"/>
      <x:c r="M88" s="25"/>
      <x:c r="N88" s="25"/>
      <x:c r="O88" s="80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  <x:c r="AA88" s="25"/>
      <x:c r="AB88" s="25"/>
      <x:c r="AC88" s="92"/>
      <x:c r="AD88" s="92"/>
      <x:c r="AE88" s="92"/>
      <x:c r="AF88" s="92"/>
      <x:c r="AG88" s="92"/>
      <x:c r="AH88" s="92"/>
      <x:c r="AI88" s="92"/>
      <x:c r="AJ88" s="92"/>
      <x:c r="AK88" s="94" t="str">
        <x:f>IF(B88="","",SUM(AG88:AJ88))</x:f>
      </x:c>
      <x:c r="AL88" s="84" t="n">
        <x:f>IFERROR(AK88/AD88,0)</x:f>
        <x:v>0</x:v>
      </x:c>
      <x:c r="AM88" s="92"/>
      <x:c r="AN88" s="92"/>
      <x:c r="AO88" s="92"/>
      <x:c r="AP88" s="92"/>
      <x:c r="AQ88" s="25"/>
      <x:c r="AR88" s="25"/>
      <x:c r="AS88" s="86"/>
      <x:c r="AT88" s="86"/>
      <x:c r="AU88" s="86"/>
      <x:c r="AV88" s="90"/>
      <x:c r="AW88" s="86"/>
      <x:c r="AX88" s="88" t="str">
        <x:f>IF(B88="","",AV88*'Paramètres'!$B$4+AW88)</x:f>
      </x:c>
      <x:c r="AY88" s="25"/>
      <x:c r="AZ88" s="25"/>
      <x:c r="BA88" s="25"/>
    </x:row>
    <x:row r="89">
      <x:c r="A89" s="78" t="str">
        <x:f>IF(B89="","",ROW()-5)</x:f>
      </x:c>
      <x:c r="B89" s="80"/>
      <x:c r="C89" s="78" t="str">
        <x:f>IF(B89="","",YEAR(B89))</x:f>
      </x:c>
      <x:c r="D89" s="78" t="str">
        <x:f>IF(B89="","",CHOOSE(MONTH(B89),"Janvier","Février","Mars","Avril","Mai","Juin","Juillet","Août","Septembre","Octobre","Novembre","Décembre"))</x:f>
      </x:c>
      <x:c r="E89" s="78" t="str">
        <x:f>IF(B89="","",WEEKNUM(B89,2))</x:f>
      </x:c>
      <x:c r="F89" s="78" t="str">
        <x:f>IF(B89="","",CHOOSE(WEEKDAY(B89,2),"Lundi","Mardi","Mercredi","Jeudi","Vendredi","Samedi","Dimanche"))</x:f>
      </x:c>
      <x:c r="G89" s="82"/>
      <x:c r="H89" s="78" t="str">
        <x:f>IF(G89="","",IF(G89&lt;TIME(11,0,0),"Matin",IF(G89&lt;TIME(15,0,0),"Midi",IF(G89&lt;TIME(18,0,0),"Après-midi","Soir"))))</x:f>
      </x:c>
      <x:c r="I89" s="25"/>
      <x:c r="J89" s="25"/>
      <x:c r="K89" s="25"/>
      <x:c r="L89" s="25"/>
      <x:c r="M89" s="25"/>
      <x:c r="N89" s="25"/>
      <x:c r="O89" s="80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  <x:c r="AA89" s="25"/>
      <x:c r="AB89" s="25"/>
      <x:c r="AC89" s="92"/>
      <x:c r="AD89" s="92"/>
      <x:c r="AE89" s="92"/>
      <x:c r="AF89" s="92"/>
      <x:c r="AG89" s="92"/>
      <x:c r="AH89" s="92"/>
      <x:c r="AI89" s="92"/>
      <x:c r="AJ89" s="92"/>
      <x:c r="AK89" s="94" t="str">
        <x:f>IF(B89="","",SUM(AG89:AJ89))</x:f>
      </x:c>
      <x:c r="AL89" s="84" t="n">
        <x:f>IFERROR(AK89/AD89,0)</x:f>
        <x:v>0</x:v>
      </x:c>
      <x:c r="AM89" s="92"/>
      <x:c r="AN89" s="92"/>
      <x:c r="AO89" s="92"/>
      <x:c r="AP89" s="92"/>
      <x:c r="AQ89" s="25"/>
      <x:c r="AR89" s="25"/>
      <x:c r="AS89" s="86"/>
      <x:c r="AT89" s="86"/>
      <x:c r="AU89" s="86"/>
      <x:c r="AV89" s="90"/>
      <x:c r="AW89" s="86"/>
      <x:c r="AX89" s="88" t="str">
        <x:f>IF(B89="","",AV89*'Paramètres'!$B$4+AW89)</x:f>
      </x:c>
      <x:c r="AY89" s="25"/>
      <x:c r="AZ89" s="25"/>
      <x:c r="BA89" s="25"/>
    </x:row>
    <x:row r="90">
      <x:c r="A90" s="78" t="str">
        <x:f>IF(B90="","",ROW()-5)</x:f>
      </x:c>
      <x:c r="B90" s="80"/>
      <x:c r="C90" s="78" t="str">
        <x:f>IF(B90="","",YEAR(B90))</x:f>
      </x:c>
      <x:c r="D90" s="78" t="str">
        <x:f>IF(B90="","",CHOOSE(MONTH(B90),"Janvier","Février","Mars","Avril","Mai","Juin","Juillet","Août","Septembre","Octobre","Novembre","Décembre"))</x:f>
      </x:c>
      <x:c r="E90" s="78" t="str">
        <x:f>IF(B90="","",WEEKNUM(B90,2))</x:f>
      </x:c>
      <x:c r="F90" s="78" t="str">
        <x:f>IF(B90="","",CHOOSE(WEEKDAY(B90,2),"Lundi","Mardi","Mercredi","Jeudi","Vendredi","Samedi","Dimanche"))</x:f>
      </x:c>
      <x:c r="G90" s="82"/>
      <x:c r="H90" s="78" t="str">
        <x:f>IF(G90="","",IF(G90&lt;TIME(11,0,0),"Matin",IF(G90&lt;TIME(15,0,0),"Midi",IF(G90&lt;TIME(18,0,0),"Après-midi","Soir"))))</x:f>
      </x:c>
      <x:c r="I90" s="25"/>
      <x:c r="J90" s="25"/>
      <x:c r="K90" s="25"/>
      <x:c r="L90" s="25"/>
      <x:c r="M90" s="25"/>
      <x:c r="N90" s="25"/>
      <x:c r="O90" s="80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  <x:c r="AA90" s="25"/>
      <x:c r="AB90" s="25"/>
      <x:c r="AC90" s="92"/>
      <x:c r="AD90" s="92"/>
      <x:c r="AE90" s="92"/>
      <x:c r="AF90" s="92"/>
      <x:c r="AG90" s="92"/>
      <x:c r="AH90" s="92"/>
      <x:c r="AI90" s="92"/>
      <x:c r="AJ90" s="92"/>
      <x:c r="AK90" s="94" t="str">
        <x:f>IF(B90="","",SUM(AG90:AJ90))</x:f>
      </x:c>
      <x:c r="AL90" s="84" t="n">
        <x:f>IFERROR(AK90/AD90,0)</x:f>
        <x:v>0</x:v>
      </x:c>
      <x:c r="AM90" s="92"/>
      <x:c r="AN90" s="92"/>
      <x:c r="AO90" s="92"/>
      <x:c r="AP90" s="92"/>
      <x:c r="AQ90" s="25"/>
      <x:c r="AR90" s="25"/>
      <x:c r="AS90" s="86"/>
      <x:c r="AT90" s="86"/>
      <x:c r="AU90" s="86"/>
      <x:c r="AV90" s="90"/>
      <x:c r="AW90" s="86"/>
      <x:c r="AX90" s="88" t="str">
        <x:f>IF(B90="","",AV90*'Paramètres'!$B$4+AW90)</x:f>
      </x:c>
      <x:c r="AY90" s="25"/>
      <x:c r="AZ90" s="25"/>
      <x:c r="BA90" s="25"/>
    </x:row>
    <x:row r="91">
      <x:c r="A91" s="78" t="str">
        <x:f>IF(B91="","",ROW()-5)</x:f>
      </x:c>
      <x:c r="B91" s="80"/>
      <x:c r="C91" s="78" t="str">
        <x:f>IF(B91="","",YEAR(B91))</x:f>
      </x:c>
      <x:c r="D91" s="78" t="str">
        <x:f>IF(B91="","",CHOOSE(MONTH(B91),"Janvier","Février","Mars","Avril","Mai","Juin","Juillet","Août","Septembre","Octobre","Novembre","Décembre"))</x:f>
      </x:c>
      <x:c r="E91" s="78" t="str">
        <x:f>IF(B91="","",WEEKNUM(B91,2))</x:f>
      </x:c>
      <x:c r="F91" s="78" t="str">
        <x:f>IF(B91="","",CHOOSE(WEEKDAY(B91,2),"Lundi","Mardi","Mercredi","Jeudi","Vendredi","Samedi","Dimanche"))</x:f>
      </x:c>
      <x:c r="G91" s="82"/>
      <x:c r="H91" s="78" t="str">
        <x:f>IF(G91="","",IF(G91&lt;TIME(11,0,0),"Matin",IF(G91&lt;TIME(15,0,0),"Midi",IF(G91&lt;TIME(18,0,0),"Après-midi","Soir"))))</x:f>
      </x:c>
      <x:c r="I91" s="25"/>
      <x:c r="J91" s="25"/>
      <x:c r="K91" s="25"/>
      <x:c r="L91" s="25"/>
      <x:c r="M91" s="25"/>
      <x:c r="N91" s="25"/>
      <x:c r="O91" s="80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  <x:c r="AA91" s="25"/>
      <x:c r="AB91" s="25"/>
      <x:c r="AC91" s="92"/>
      <x:c r="AD91" s="92"/>
      <x:c r="AE91" s="92"/>
      <x:c r="AF91" s="92"/>
      <x:c r="AG91" s="92"/>
      <x:c r="AH91" s="92"/>
      <x:c r="AI91" s="92"/>
      <x:c r="AJ91" s="92"/>
      <x:c r="AK91" s="94" t="str">
        <x:f>IF(B91="","",SUM(AG91:AJ91))</x:f>
      </x:c>
      <x:c r="AL91" s="84" t="n">
        <x:f>IFERROR(AK91/AD91,0)</x:f>
        <x:v>0</x:v>
      </x:c>
      <x:c r="AM91" s="92"/>
      <x:c r="AN91" s="92"/>
      <x:c r="AO91" s="92"/>
      <x:c r="AP91" s="92"/>
      <x:c r="AQ91" s="25"/>
      <x:c r="AR91" s="25"/>
      <x:c r="AS91" s="86"/>
      <x:c r="AT91" s="86"/>
      <x:c r="AU91" s="86"/>
      <x:c r="AV91" s="90"/>
      <x:c r="AW91" s="86"/>
      <x:c r="AX91" s="88" t="str">
        <x:f>IF(B91="","",AV91*'Paramètres'!$B$4+AW91)</x:f>
      </x:c>
      <x:c r="AY91" s="25"/>
      <x:c r="AZ91" s="25"/>
      <x:c r="BA91" s="25"/>
    </x:row>
    <x:row r="92">
      <x:c r="A92" s="78" t="str">
        <x:f>IF(B92="","",ROW()-5)</x:f>
      </x:c>
      <x:c r="B92" s="80"/>
      <x:c r="C92" s="78" t="str">
        <x:f>IF(B92="","",YEAR(B92))</x:f>
      </x:c>
      <x:c r="D92" s="78" t="str">
        <x:f>IF(B92="","",CHOOSE(MONTH(B92),"Janvier","Février","Mars","Avril","Mai","Juin","Juillet","Août","Septembre","Octobre","Novembre","Décembre"))</x:f>
      </x:c>
      <x:c r="E92" s="78" t="str">
        <x:f>IF(B92="","",WEEKNUM(B92,2))</x:f>
      </x:c>
      <x:c r="F92" s="78" t="str">
        <x:f>IF(B92="","",CHOOSE(WEEKDAY(B92,2),"Lundi","Mardi","Mercredi","Jeudi","Vendredi","Samedi","Dimanche"))</x:f>
      </x:c>
      <x:c r="G92" s="82"/>
      <x:c r="H92" s="78" t="str">
        <x:f>IF(G92="","",IF(G92&lt;TIME(11,0,0),"Matin",IF(G92&lt;TIME(15,0,0),"Midi",IF(G92&lt;TIME(18,0,0),"Après-midi","Soir"))))</x:f>
      </x:c>
      <x:c r="I92" s="25"/>
      <x:c r="J92" s="25"/>
      <x:c r="K92" s="25"/>
      <x:c r="L92" s="25"/>
      <x:c r="M92" s="25"/>
      <x:c r="N92" s="25"/>
      <x:c r="O92" s="80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  <x:c r="AA92" s="25"/>
      <x:c r="AB92" s="25"/>
      <x:c r="AC92" s="92"/>
      <x:c r="AD92" s="92"/>
      <x:c r="AE92" s="92"/>
      <x:c r="AF92" s="92"/>
      <x:c r="AG92" s="92"/>
      <x:c r="AH92" s="92"/>
      <x:c r="AI92" s="92"/>
      <x:c r="AJ92" s="92"/>
      <x:c r="AK92" s="94" t="str">
        <x:f>IF(B92="","",SUM(AG92:AJ92))</x:f>
      </x:c>
      <x:c r="AL92" s="84" t="n">
        <x:f>IFERROR(AK92/AD92,0)</x:f>
        <x:v>0</x:v>
      </x:c>
      <x:c r="AM92" s="92"/>
      <x:c r="AN92" s="92"/>
      <x:c r="AO92" s="92"/>
      <x:c r="AP92" s="92"/>
      <x:c r="AQ92" s="25"/>
      <x:c r="AR92" s="25"/>
      <x:c r="AS92" s="86"/>
      <x:c r="AT92" s="86"/>
      <x:c r="AU92" s="86"/>
      <x:c r="AV92" s="90"/>
      <x:c r="AW92" s="86"/>
      <x:c r="AX92" s="88" t="str">
        <x:f>IF(B92="","",AV92*'Paramètres'!$B$4+AW92)</x:f>
      </x:c>
      <x:c r="AY92" s="25"/>
      <x:c r="AZ92" s="25"/>
      <x:c r="BA92" s="25"/>
    </x:row>
    <x:row r="93">
      <x:c r="A93" s="78" t="str">
        <x:f>IF(B93="","",ROW()-5)</x:f>
      </x:c>
      <x:c r="B93" s="80"/>
      <x:c r="C93" s="78" t="str">
        <x:f>IF(B93="","",YEAR(B93))</x:f>
      </x:c>
      <x:c r="D93" s="78" t="str">
        <x:f>IF(B93="","",CHOOSE(MONTH(B93),"Janvier","Février","Mars","Avril","Mai","Juin","Juillet","Août","Septembre","Octobre","Novembre","Décembre"))</x:f>
      </x:c>
      <x:c r="E93" s="78" t="str">
        <x:f>IF(B93="","",WEEKNUM(B93,2))</x:f>
      </x:c>
      <x:c r="F93" s="78" t="str">
        <x:f>IF(B93="","",CHOOSE(WEEKDAY(B93,2),"Lundi","Mardi","Mercredi","Jeudi","Vendredi","Samedi","Dimanche"))</x:f>
      </x:c>
      <x:c r="G93" s="82"/>
      <x:c r="H93" s="78" t="str">
        <x:f>IF(G93="","",IF(G93&lt;TIME(11,0,0),"Matin",IF(G93&lt;TIME(15,0,0),"Midi",IF(G93&lt;TIME(18,0,0),"Après-midi","Soir"))))</x:f>
      </x:c>
      <x:c r="I93" s="25"/>
      <x:c r="J93" s="25"/>
      <x:c r="K93" s="25"/>
      <x:c r="L93" s="25"/>
      <x:c r="M93" s="25"/>
      <x:c r="N93" s="25"/>
      <x:c r="O93" s="80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  <x:c r="AA93" s="25"/>
      <x:c r="AB93" s="25"/>
      <x:c r="AC93" s="92"/>
      <x:c r="AD93" s="92"/>
      <x:c r="AE93" s="92"/>
      <x:c r="AF93" s="92"/>
      <x:c r="AG93" s="92"/>
      <x:c r="AH93" s="92"/>
      <x:c r="AI93" s="92"/>
      <x:c r="AJ93" s="92"/>
      <x:c r="AK93" s="94" t="str">
        <x:f>IF(B93="","",SUM(AG93:AJ93))</x:f>
      </x:c>
      <x:c r="AL93" s="84" t="n">
        <x:f>IFERROR(AK93/AD93,0)</x:f>
        <x:v>0</x:v>
      </x:c>
      <x:c r="AM93" s="92"/>
      <x:c r="AN93" s="92"/>
      <x:c r="AO93" s="92"/>
      <x:c r="AP93" s="92"/>
      <x:c r="AQ93" s="25"/>
      <x:c r="AR93" s="25"/>
      <x:c r="AS93" s="86"/>
      <x:c r="AT93" s="86"/>
      <x:c r="AU93" s="86"/>
      <x:c r="AV93" s="90"/>
      <x:c r="AW93" s="86"/>
      <x:c r="AX93" s="88" t="str">
        <x:f>IF(B93="","",AV93*'Paramètres'!$B$4+AW93)</x:f>
      </x:c>
      <x:c r="AY93" s="25"/>
      <x:c r="AZ93" s="25"/>
      <x:c r="BA93" s="25"/>
    </x:row>
    <x:row r="94">
      <x:c r="A94" s="78" t="str">
        <x:f>IF(B94="","",ROW()-5)</x:f>
      </x:c>
      <x:c r="B94" s="80"/>
      <x:c r="C94" s="78" t="str">
        <x:f>IF(B94="","",YEAR(B94))</x:f>
      </x:c>
      <x:c r="D94" s="78" t="str">
        <x:f>IF(B94="","",CHOOSE(MONTH(B94),"Janvier","Février","Mars","Avril","Mai","Juin","Juillet","Août","Septembre","Octobre","Novembre","Décembre"))</x:f>
      </x:c>
      <x:c r="E94" s="78" t="str">
        <x:f>IF(B94="","",WEEKNUM(B94,2))</x:f>
      </x:c>
      <x:c r="F94" s="78" t="str">
        <x:f>IF(B94="","",CHOOSE(WEEKDAY(B94,2),"Lundi","Mardi","Mercredi","Jeudi","Vendredi","Samedi","Dimanche"))</x:f>
      </x:c>
      <x:c r="G94" s="82"/>
      <x:c r="H94" s="78" t="str">
        <x:f>IF(G94="","",IF(G94&lt;TIME(11,0,0),"Matin",IF(G94&lt;TIME(15,0,0),"Midi",IF(G94&lt;TIME(18,0,0),"Après-midi","Soir"))))</x:f>
      </x:c>
      <x:c r="I94" s="25"/>
      <x:c r="J94" s="25"/>
      <x:c r="K94" s="25"/>
      <x:c r="L94" s="25"/>
      <x:c r="M94" s="25"/>
      <x:c r="N94" s="25"/>
      <x:c r="O94" s="80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  <x:c r="AA94" s="25"/>
      <x:c r="AB94" s="25"/>
      <x:c r="AC94" s="92"/>
      <x:c r="AD94" s="92"/>
      <x:c r="AE94" s="92"/>
      <x:c r="AF94" s="92"/>
      <x:c r="AG94" s="92"/>
      <x:c r="AH94" s="92"/>
      <x:c r="AI94" s="92"/>
      <x:c r="AJ94" s="92"/>
      <x:c r="AK94" s="94" t="str">
        <x:f>IF(B94="","",SUM(AG94:AJ94))</x:f>
      </x:c>
      <x:c r="AL94" s="84" t="n">
        <x:f>IFERROR(AK94/AD94,0)</x:f>
        <x:v>0</x:v>
      </x:c>
      <x:c r="AM94" s="92"/>
      <x:c r="AN94" s="92"/>
      <x:c r="AO94" s="92"/>
      <x:c r="AP94" s="92"/>
      <x:c r="AQ94" s="25"/>
      <x:c r="AR94" s="25"/>
      <x:c r="AS94" s="86"/>
      <x:c r="AT94" s="86"/>
      <x:c r="AU94" s="86"/>
      <x:c r="AV94" s="90"/>
      <x:c r="AW94" s="86"/>
      <x:c r="AX94" s="88" t="str">
        <x:f>IF(B94="","",AV94*'Paramètres'!$B$4+AW94)</x:f>
      </x:c>
      <x:c r="AY94" s="25"/>
      <x:c r="AZ94" s="25"/>
      <x:c r="BA94" s="25"/>
    </x:row>
    <x:row r="95">
      <x:c r="A95" s="78" t="str">
        <x:f>IF(B95="","",ROW()-5)</x:f>
      </x:c>
      <x:c r="B95" s="80"/>
      <x:c r="C95" s="78" t="str">
        <x:f>IF(B95="","",YEAR(B95))</x:f>
      </x:c>
      <x:c r="D95" s="78" t="str">
        <x:f>IF(B95="","",CHOOSE(MONTH(B95),"Janvier","Février","Mars","Avril","Mai","Juin","Juillet","Août","Septembre","Octobre","Novembre","Décembre"))</x:f>
      </x:c>
      <x:c r="E95" s="78" t="str">
        <x:f>IF(B95="","",WEEKNUM(B95,2))</x:f>
      </x:c>
      <x:c r="F95" s="78" t="str">
        <x:f>IF(B95="","",CHOOSE(WEEKDAY(B95,2),"Lundi","Mardi","Mercredi","Jeudi","Vendredi","Samedi","Dimanche"))</x:f>
      </x:c>
      <x:c r="G95" s="82"/>
      <x:c r="H95" s="78" t="str">
        <x:f>IF(G95="","",IF(G95&lt;TIME(11,0,0),"Matin",IF(G95&lt;TIME(15,0,0),"Midi",IF(G95&lt;TIME(18,0,0),"Après-midi","Soir"))))</x:f>
      </x:c>
      <x:c r="I95" s="25"/>
      <x:c r="J95" s="25"/>
      <x:c r="K95" s="25"/>
      <x:c r="L95" s="25"/>
      <x:c r="M95" s="25"/>
      <x:c r="N95" s="25"/>
      <x:c r="O95" s="80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  <x:c r="AA95" s="25"/>
      <x:c r="AB95" s="25"/>
      <x:c r="AC95" s="92"/>
      <x:c r="AD95" s="92"/>
      <x:c r="AE95" s="92"/>
      <x:c r="AF95" s="92"/>
      <x:c r="AG95" s="92"/>
      <x:c r="AH95" s="92"/>
      <x:c r="AI95" s="92"/>
      <x:c r="AJ95" s="92"/>
      <x:c r="AK95" s="94" t="str">
        <x:f>IF(B95="","",SUM(AG95:AJ95))</x:f>
      </x:c>
      <x:c r="AL95" s="84" t="n">
        <x:f>IFERROR(AK95/AD95,0)</x:f>
        <x:v>0</x:v>
      </x:c>
      <x:c r="AM95" s="92"/>
      <x:c r="AN95" s="92"/>
      <x:c r="AO95" s="92"/>
      <x:c r="AP95" s="92"/>
      <x:c r="AQ95" s="25"/>
      <x:c r="AR95" s="25"/>
      <x:c r="AS95" s="86"/>
      <x:c r="AT95" s="86"/>
      <x:c r="AU95" s="86"/>
      <x:c r="AV95" s="90"/>
      <x:c r="AW95" s="86"/>
      <x:c r="AX95" s="88" t="str">
        <x:f>IF(B95="","",AV95*'Paramètres'!$B$4+AW95)</x:f>
      </x:c>
      <x:c r="AY95" s="25"/>
      <x:c r="AZ95" s="25"/>
      <x:c r="BA95" s="25"/>
    </x:row>
    <x:row r="96">
      <x:c r="A96" s="78" t="str">
        <x:f>IF(B96="","",ROW()-5)</x:f>
      </x:c>
      <x:c r="B96" s="80"/>
      <x:c r="C96" s="78" t="str">
        <x:f>IF(B96="","",YEAR(B96))</x:f>
      </x:c>
      <x:c r="D96" s="78" t="str">
        <x:f>IF(B96="","",CHOOSE(MONTH(B96),"Janvier","Février","Mars","Avril","Mai","Juin","Juillet","Août","Septembre","Octobre","Novembre","Décembre"))</x:f>
      </x:c>
      <x:c r="E96" s="78" t="str">
        <x:f>IF(B96="","",WEEKNUM(B96,2))</x:f>
      </x:c>
      <x:c r="F96" s="78" t="str">
        <x:f>IF(B96="","",CHOOSE(WEEKDAY(B96,2),"Lundi","Mardi","Mercredi","Jeudi","Vendredi","Samedi","Dimanche"))</x:f>
      </x:c>
      <x:c r="G96" s="82"/>
      <x:c r="H96" s="78" t="str">
        <x:f>IF(G96="","",IF(G96&lt;TIME(11,0,0),"Matin",IF(G96&lt;TIME(15,0,0),"Midi",IF(G96&lt;TIME(18,0,0),"Après-midi","Soir"))))</x:f>
      </x:c>
      <x:c r="I96" s="25"/>
      <x:c r="J96" s="25"/>
      <x:c r="K96" s="25"/>
      <x:c r="L96" s="25"/>
      <x:c r="M96" s="25"/>
      <x:c r="N96" s="25"/>
      <x:c r="O96" s="80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  <x:c r="AA96" s="25"/>
      <x:c r="AB96" s="25"/>
      <x:c r="AC96" s="92"/>
      <x:c r="AD96" s="92"/>
      <x:c r="AE96" s="92"/>
      <x:c r="AF96" s="92"/>
      <x:c r="AG96" s="92"/>
      <x:c r="AH96" s="92"/>
      <x:c r="AI96" s="92"/>
      <x:c r="AJ96" s="92"/>
      <x:c r="AK96" s="94" t="str">
        <x:f>IF(B96="","",SUM(AG96:AJ96))</x:f>
      </x:c>
      <x:c r="AL96" s="84" t="n">
        <x:f>IFERROR(AK96/AD96,0)</x:f>
        <x:v>0</x:v>
      </x:c>
      <x:c r="AM96" s="92"/>
      <x:c r="AN96" s="92"/>
      <x:c r="AO96" s="92"/>
      <x:c r="AP96" s="92"/>
      <x:c r="AQ96" s="25"/>
      <x:c r="AR96" s="25"/>
      <x:c r="AS96" s="86"/>
      <x:c r="AT96" s="86"/>
      <x:c r="AU96" s="86"/>
      <x:c r="AV96" s="90"/>
      <x:c r="AW96" s="86"/>
      <x:c r="AX96" s="88" t="str">
        <x:f>IF(B96="","",AV96*'Paramètres'!$B$4+AW96)</x:f>
      </x:c>
      <x:c r="AY96" s="25"/>
      <x:c r="AZ96" s="25"/>
      <x:c r="BA96" s="25"/>
    </x:row>
    <x:row r="97">
      <x:c r="A97" s="78" t="str">
        <x:f>IF(B97="","",ROW()-5)</x:f>
      </x:c>
      <x:c r="B97" s="80"/>
      <x:c r="C97" s="78" t="str">
        <x:f>IF(B97="","",YEAR(B97))</x:f>
      </x:c>
      <x:c r="D97" s="78" t="str">
        <x:f>IF(B97="","",CHOOSE(MONTH(B97),"Janvier","Février","Mars","Avril","Mai","Juin","Juillet","Août","Septembre","Octobre","Novembre","Décembre"))</x:f>
      </x:c>
      <x:c r="E97" s="78" t="str">
        <x:f>IF(B97="","",WEEKNUM(B97,2))</x:f>
      </x:c>
      <x:c r="F97" s="78" t="str">
        <x:f>IF(B97="","",CHOOSE(WEEKDAY(B97,2),"Lundi","Mardi","Mercredi","Jeudi","Vendredi","Samedi","Dimanche"))</x:f>
      </x:c>
      <x:c r="G97" s="82"/>
      <x:c r="H97" s="78" t="str">
        <x:f>IF(G97="","",IF(G97&lt;TIME(11,0,0),"Matin",IF(G97&lt;TIME(15,0,0),"Midi",IF(G97&lt;TIME(18,0,0),"Après-midi","Soir"))))</x:f>
      </x:c>
      <x:c r="I97" s="25"/>
      <x:c r="J97" s="25"/>
      <x:c r="K97" s="25"/>
      <x:c r="L97" s="25"/>
      <x:c r="M97" s="25"/>
      <x:c r="N97" s="25"/>
      <x:c r="O97" s="80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  <x:c r="AA97" s="25"/>
      <x:c r="AB97" s="25"/>
      <x:c r="AC97" s="92"/>
      <x:c r="AD97" s="92"/>
      <x:c r="AE97" s="92"/>
      <x:c r="AF97" s="92"/>
      <x:c r="AG97" s="92"/>
      <x:c r="AH97" s="92"/>
      <x:c r="AI97" s="92"/>
      <x:c r="AJ97" s="92"/>
      <x:c r="AK97" s="94" t="str">
        <x:f>IF(B97="","",SUM(AG97:AJ97))</x:f>
      </x:c>
      <x:c r="AL97" s="84" t="n">
        <x:f>IFERROR(AK97/AD97,0)</x:f>
        <x:v>0</x:v>
      </x:c>
      <x:c r="AM97" s="92"/>
      <x:c r="AN97" s="92"/>
      <x:c r="AO97" s="92"/>
      <x:c r="AP97" s="92"/>
      <x:c r="AQ97" s="25"/>
      <x:c r="AR97" s="25"/>
      <x:c r="AS97" s="86"/>
      <x:c r="AT97" s="86"/>
      <x:c r="AU97" s="86"/>
      <x:c r="AV97" s="90"/>
      <x:c r="AW97" s="86"/>
      <x:c r="AX97" s="88" t="str">
        <x:f>IF(B97="","",AV97*'Paramètres'!$B$4+AW97)</x:f>
      </x:c>
      <x:c r="AY97" s="25"/>
      <x:c r="AZ97" s="25"/>
      <x:c r="BA97" s="25"/>
    </x:row>
    <x:row r="98">
      <x:c r="A98" s="78" t="str">
        <x:f>IF(B98="","",ROW()-5)</x:f>
      </x:c>
      <x:c r="B98" s="80"/>
      <x:c r="C98" s="78" t="str">
        <x:f>IF(B98="","",YEAR(B98))</x:f>
      </x:c>
      <x:c r="D98" s="78" t="str">
        <x:f>IF(B98="","",CHOOSE(MONTH(B98),"Janvier","Février","Mars","Avril","Mai","Juin","Juillet","Août","Septembre","Octobre","Novembre","Décembre"))</x:f>
      </x:c>
      <x:c r="E98" s="78" t="str">
        <x:f>IF(B98="","",WEEKNUM(B98,2))</x:f>
      </x:c>
      <x:c r="F98" s="78" t="str">
        <x:f>IF(B98="","",CHOOSE(WEEKDAY(B98,2),"Lundi","Mardi","Mercredi","Jeudi","Vendredi","Samedi","Dimanche"))</x:f>
      </x:c>
      <x:c r="G98" s="82"/>
      <x:c r="H98" s="78" t="str">
        <x:f>IF(G98="","",IF(G98&lt;TIME(11,0,0),"Matin",IF(G98&lt;TIME(15,0,0),"Midi",IF(G98&lt;TIME(18,0,0),"Après-midi","Soir"))))</x:f>
      </x:c>
      <x:c r="I98" s="25"/>
      <x:c r="J98" s="25"/>
      <x:c r="K98" s="25"/>
      <x:c r="L98" s="25"/>
      <x:c r="M98" s="25"/>
      <x:c r="N98" s="25"/>
      <x:c r="O98" s="80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  <x:c r="AA98" s="25"/>
      <x:c r="AB98" s="25"/>
      <x:c r="AC98" s="92"/>
      <x:c r="AD98" s="92"/>
      <x:c r="AE98" s="92"/>
      <x:c r="AF98" s="92"/>
      <x:c r="AG98" s="92"/>
      <x:c r="AH98" s="92"/>
      <x:c r="AI98" s="92"/>
      <x:c r="AJ98" s="92"/>
      <x:c r="AK98" s="94" t="str">
        <x:f>IF(B98="","",SUM(AG98:AJ98))</x:f>
      </x:c>
      <x:c r="AL98" s="84" t="n">
        <x:f>IFERROR(AK98/AD98,0)</x:f>
        <x:v>0</x:v>
      </x:c>
      <x:c r="AM98" s="92"/>
      <x:c r="AN98" s="92"/>
      <x:c r="AO98" s="92"/>
      <x:c r="AP98" s="92"/>
      <x:c r="AQ98" s="25"/>
      <x:c r="AR98" s="25"/>
      <x:c r="AS98" s="86"/>
      <x:c r="AT98" s="86"/>
      <x:c r="AU98" s="86"/>
      <x:c r="AV98" s="90"/>
      <x:c r="AW98" s="86"/>
      <x:c r="AX98" s="88" t="str">
        <x:f>IF(B98="","",AV98*'Paramètres'!$B$4+AW98)</x:f>
      </x:c>
      <x:c r="AY98" s="25"/>
      <x:c r="AZ98" s="25"/>
      <x:c r="BA98" s="25"/>
    </x:row>
    <x:row r="99">
      <x:c r="A99" s="78" t="str">
        <x:f>IF(B99="","",ROW()-5)</x:f>
      </x:c>
      <x:c r="B99" s="80"/>
      <x:c r="C99" s="78" t="str">
        <x:f>IF(B99="","",YEAR(B99))</x:f>
      </x:c>
      <x:c r="D99" s="78" t="str">
        <x:f>IF(B99="","",CHOOSE(MONTH(B99),"Janvier","Février","Mars","Avril","Mai","Juin","Juillet","Août","Septembre","Octobre","Novembre","Décembre"))</x:f>
      </x:c>
      <x:c r="E99" s="78" t="str">
        <x:f>IF(B99="","",WEEKNUM(B99,2))</x:f>
      </x:c>
      <x:c r="F99" s="78" t="str">
        <x:f>IF(B99="","",CHOOSE(WEEKDAY(B99,2),"Lundi","Mardi","Mercredi","Jeudi","Vendredi","Samedi","Dimanche"))</x:f>
      </x:c>
      <x:c r="G99" s="82"/>
      <x:c r="H99" s="78" t="str">
        <x:f>IF(G99="","",IF(G99&lt;TIME(11,0,0),"Matin",IF(G99&lt;TIME(15,0,0),"Midi",IF(G99&lt;TIME(18,0,0),"Après-midi","Soir"))))</x:f>
      </x:c>
      <x:c r="I99" s="25"/>
      <x:c r="J99" s="25"/>
      <x:c r="K99" s="25"/>
      <x:c r="L99" s="25"/>
      <x:c r="M99" s="25"/>
      <x:c r="N99" s="25"/>
      <x:c r="O99" s="80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  <x:c r="AA99" s="25"/>
      <x:c r="AB99" s="25"/>
      <x:c r="AC99" s="92"/>
      <x:c r="AD99" s="92"/>
      <x:c r="AE99" s="92"/>
      <x:c r="AF99" s="92"/>
      <x:c r="AG99" s="92"/>
      <x:c r="AH99" s="92"/>
      <x:c r="AI99" s="92"/>
      <x:c r="AJ99" s="92"/>
      <x:c r="AK99" s="94" t="str">
        <x:f>IF(B99="","",SUM(AG99:AJ99))</x:f>
      </x:c>
      <x:c r="AL99" s="84" t="n">
        <x:f>IFERROR(AK99/AD99,0)</x:f>
        <x:v>0</x:v>
      </x:c>
      <x:c r="AM99" s="92"/>
      <x:c r="AN99" s="92"/>
      <x:c r="AO99" s="92"/>
      <x:c r="AP99" s="92"/>
      <x:c r="AQ99" s="25"/>
      <x:c r="AR99" s="25"/>
      <x:c r="AS99" s="86"/>
      <x:c r="AT99" s="86"/>
      <x:c r="AU99" s="86"/>
      <x:c r="AV99" s="90"/>
      <x:c r="AW99" s="86"/>
      <x:c r="AX99" s="88" t="str">
        <x:f>IF(B99="","",AV99*'Paramètres'!$B$4+AW99)</x:f>
      </x:c>
      <x:c r="AY99" s="25"/>
      <x:c r="AZ99" s="25"/>
      <x:c r="BA99" s="25"/>
    </x:row>
    <x:row r="100">
      <x:c r="A100" s="78" t="str">
        <x:f>IF(B100="","",ROW()-5)</x:f>
      </x:c>
      <x:c r="B100" s="80"/>
      <x:c r="C100" s="78" t="str">
        <x:f>IF(B100="","",YEAR(B100))</x:f>
      </x:c>
      <x:c r="D100" s="78" t="str">
        <x:f>IF(B100="","",CHOOSE(MONTH(B100),"Janvier","Février","Mars","Avril","Mai","Juin","Juillet","Août","Septembre","Octobre","Novembre","Décembre"))</x:f>
      </x:c>
      <x:c r="E100" s="78" t="str">
        <x:f>IF(B100="","",WEEKNUM(B100,2))</x:f>
      </x:c>
      <x:c r="F100" s="78" t="str">
        <x:f>IF(B100="","",CHOOSE(WEEKDAY(B100,2),"Lundi","Mardi","Mercredi","Jeudi","Vendredi","Samedi","Dimanche"))</x:f>
      </x:c>
      <x:c r="G100" s="82"/>
      <x:c r="H100" s="78" t="str">
        <x:f>IF(G100="","",IF(G100&lt;TIME(11,0,0),"Matin",IF(G100&lt;TIME(15,0,0),"Midi",IF(G100&lt;TIME(18,0,0),"Après-midi","Soir"))))</x:f>
      </x:c>
      <x:c r="I100" s="25"/>
      <x:c r="J100" s="25"/>
      <x:c r="K100" s="25"/>
      <x:c r="L100" s="25"/>
      <x:c r="M100" s="25"/>
      <x:c r="N100" s="25"/>
      <x:c r="O100" s="80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  <x:c r="AA100" s="25"/>
      <x:c r="AB100" s="25"/>
      <x:c r="AC100" s="92"/>
      <x:c r="AD100" s="92"/>
      <x:c r="AE100" s="92"/>
      <x:c r="AF100" s="92"/>
      <x:c r="AG100" s="92"/>
      <x:c r="AH100" s="92"/>
      <x:c r="AI100" s="92"/>
      <x:c r="AJ100" s="92"/>
      <x:c r="AK100" s="94" t="str">
        <x:f>IF(B100="","",SUM(AG100:AJ100))</x:f>
      </x:c>
      <x:c r="AL100" s="84" t="n">
        <x:f>IFERROR(AK100/AD100,0)</x:f>
        <x:v>0</x:v>
      </x:c>
      <x:c r="AM100" s="92"/>
      <x:c r="AN100" s="92"/>
      <x:c r="AO100" s="92"/>
      <x:c r="AP100" s="92"/>
      <x:c r="AQ100" s="25"/>
      <x:c r="AR100" s="25"/>
      <x:c r="AS100" s="86"/>
      <x:c r="AT100" s="86"/>
      <x:c r="AU100" s="86"/>
      <x:c r="AV100" s="90"/>
      <x:c r="AW100" s="86"/>
      <x:c r="AX100" s="88" t="str">
        <x:f>IF(B100="","",AV100*'Paramètres'!$B$4+AW100)</x:f>
      </x:c>
      <x:c r="AY100" s="25"/>
      <x:c r="AZ100" s="25"/>
      <x:c r="BA100" s="25"/>
    </x:row>
    <x:row r="101">
      <x:c r="A101" s="78" t="str">
        <x:f>IF(B101="","",ROW()-5)</x:f>
      </x:c>
      <x:c r="B101" s="80"/>
      <x:c r="C101" s="78" t="str">
        <x:f>IF(B101="","",YEAR(B101))</x:f>
      </x:c>
      <x:c r="D101" s="78" t="str">
        <x:f>IF(B101="","",CHOOSE(MONTH(B101),"Janvier","Février","Mars","Avril","Mai","Juin","Juillet","Août","Septembre","Octobre","Novembre","Décembre"))</x:f>
      </x:c>
      <x:c r="E101" s="78" t="str">
        <x:f>IF(B101="","",WEEKNUM(B101,2))</x:f>
      </x:c>
      <x:c r="F101" s="78" t="str">
        <x:f>IF(B101="","",CHOOSE(WEEKDAY(B101,2),"Lundi","Mardi","Mercredi","Jeudi","Vendredi","Samedi","Dimanche"))</x:f>
      </x:c>
      <x:c r="G101" s="82"/>
      <x:c r="H101" s="78" t="str">
        <x:f>IF(G101="","",IF(G101&lt;TIME(11,0,0),"Matin",IF(G101&lt;TIME(15,0,0),"Midi",IF(G101&lt;TIME(18,0,0),"Après-midi","Soir"))))</x:f>
      </x:c>
      <x:c r="I101" s="25"/>
      <x:c r="J101" s="25"/>
      <x:c r="K101" s="25"/>
      <x:c r="L101" s="25"/>
      <x:c r="M101" s="25"/>
      <x:c r="N101" s="25"/>
      <x:c r="O101" s="80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  <x:c r="AA101" s="25"/>
      <x:c r="AB101" s="25"/>
      <x:c r="AC101" s="92"/>
      <x:c r="AD101" s="92"/>
      <x:c r="AE101" s="92"/>
      <x:c r="AF101" s="92"/>
      <x:c r="AG101" s="92"/>
      <x:c r="AH101" s="92"/>
      <x:c r="AI101" s="92"/>
      <x:c r="AJ101" s="92"/>
      <x:c r="AK101" s="94" t="str">
        <x:f>IF(B101="","",SUM(AG101:AJ101))</x:f>
      </x:c>
      <x:c r="AL101" s="84" t="n">
        <x:f>IFERROR(AK101/AD101,0)</x:f>
        <x:v>0</x:v>
      </x:c>
      <x:c r="AM101" s="92"/>
      <x:c r="AN101" s="92"/>
      <x:c r="AO101" s="92"/>
      <x:c r="AP101" s="92"/>
      <x:c r="AQ101" s="25"/>
      <x:c r="AR101" s="25"/>
      <x:c r="AS101" s="86"/>
      <x:c r="AT101" s="86"/>
      <x:c r="AU101" s="86"/>
      <x:c r="AV101" s="90"/>
      <x:c r="AW101" s="86"/>
      <x:c r="AX101" s="88" t="str">
        <x:f>IF(B101="","",AV101*'Paramètres'!$B$4+AW101)</x:f>
      </x:c>
      <x:c r="AY101" s="25"/>
      <x:c r="AZ101" s="25"/>
      <x:c r="BA101" s="25"/>
    </x:row>
    <x:row r="102">
      <x:c r="A102" s="78" t="str">
        <x:f>IF(B102="","",ROW()-5)</x:f>
      </x:c>
      <x:c r="B102" s="80"/>
      <x:c r="C102" s="78" t="str">
        <x:f>IF(B102="","",YEAR(B102))</x:f>
      </x:c>
      <x:c r="D102" s="78" t="str">
        <x:f>IF(B102="","",CHOOSE(MONTH(B102),"Janvier","Février","Mars","Avril","Mai","Juin","Juillet","Août","Septembre","Octobre","Novembre","Décembre"))</x:f>
      </x:c>
      <x:c r="E102" s="78" t="str">
        <x:f>IF(B102="","",WEEKNUM(B102,2))</x:f>
      </x:c>
      <x:c r="F102" s="78" t="str">
        <x:f>IF(B102="","",CHOOSE(WEEKDAY(B102,2),"Lundi","Mardi","Mercredi","Jeudi","Vendredi","Samedi","Dimanche"))</x:f>
      </x:c>
      <x:c r="G102" s="82"/>
      <x:c r="H102" s="78" t="str">
        <x:f>IF(G102="","",IF(G102&lt;TIME(11,0,0),"Matin",IF(G102&lt;TIME(15,0,0),"Midi",IF(G102&lt;TIME(18,0,0),"Après-midi","Soir"))))</x:f>
      </x:c>
      <x:c r="I102" s="25"/>
      <x:c r="J102" s="25"/>
      <x:c r="K102" s="25"/>
      <x:c r="L102" s="25"/>
      <x:c r="M102" s="25"/>
      <x:c r="N102" s="25"/>
      <x:c r="O102" s="80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  <x:c r="AA102" s="25"/>
      <x:c r="AB102" s="25"/>
      <x:c r="AC102" s="92"/>
      <x:c r="AD102" s="92"/>
      <x:c r="AE102" s="92"/>
      <x:c r="AF102" s="92"/>
      <x:c r="AG102" s="92"/>
      <x:c r="AH102" s="92"/>
      <x:c r="AI102" s="92"/>
      <x:c r="AJ102" s="92"/>
      <x:c r="AK102" s="94" t="str">
        <x:f>IF(B102="","",SUM(AG102:AJ102))</x:f>
      </x:c>
      <x:c r="AL102" s="84" t="n">
        <x:f>IFERROR(AK102/AD102,0)</x:f>
        <x:v>0</x:v>
      </x:c>
      <x:c r="AM102" s="92"/>
      <x:c r="AN102" s="92"/>
      <x:c r="AO102" s="92"/>
      <x:c r="AP102" s="92"/>
      <x:c r="AQ102" s="25"/>
      <x:c r="AR102" s="25"/>
      <x:c r="AS102" s="86"/>
      <x:c r="AT102" s="86"/>
      <x:c r="AU102" s="86"/>
      <x:c r="AV102" s="90"/>
      <x:c r="AW102" s="86"/>
      <x:c r="AX102" s="88" t="str">
        <x:f>IF(B102="","",AV102*'Paramètres'!$B$4+AW102)</x:f>
      </x:c>
      <x:c r="AY102" s="25"/>
      <x:c r="AZ102" s="25"/>
      <x:c r="BA102" s="25"/>
    </x:row>
    <x:row r="103">
      <x:c r="A103" s="78" t="str">
        <x:f>IF(B103="","",ROW()-5)</x:f>
      </x:c>
      <x:c r="B103" s="80"/>
      <x:c r="C103" s="78" t="str">
        <x:f>IF(B103="","",YEAR(B103))</x:f>
      </x:c>
      <x:c r="D103" s="78" t="str">
        <x:f>IF(B103="","",CHOOSE(MONTH(B103),"Janvier","Février","Mars","Avril","Mai","Juin","Juillet","Août","Septembre","Octobre","Novembre","Décembre"))</x:f>
      </x:c>
      <x:c r="E103" s="78" t="str">
        <x:f>IF(B103="","",WEEKNUM(B103,2))</x:f>
      </x:c>
      <x:c r="F103" s="78" t="str">
        <x:f>IF(B103="","",CHOOSE(WEEKDAY(B103,2),"Lundi","Mardi","Mercredi","Jeudi","Vendredi","Samedi","Dimanche"))</x:f>
      </x:c>
      <x:c r="G103" s="82"/>
      <x:c r="H103" s="78" t="str">
        <x:f>IF(G103="","",IF(G103&lt;TIME(11,0,0),"Matin",IF(G103&lt;TIME(15,0,0),"Midi",IF(G103&lt;TIME(18,0,0),"Après-midi","Soir"))))</x:f>
      </x:c>
      <x:c r="I103" s="25"/>
      <x:c r="J103" s="25"/>
      <x:c r="K103" s="25"/>
      <x:c r="L103" s="25"/>
      <x:c r="M103" s="25"/>
      <x:c r="N103" s="25"/>
      <x:c r="O103" s="80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  <x:c r="AA103" s="25"/>
      <x:c r="AB103" s="25"/>
      <x:c r="AC103" s="92"/>
      <x:c r="AD103" s="92"/>
      <x:c r="AE103" s="92"/>
      <x:c r="AF103" s="92"/>
      <x:c r="AG103" s="92"/>
      <x:c r="AH103" s="92"/>
      <x:c r="AI103" s="92"/>
      <x:c r="AJ103" s="92"/>
      <x:c r="AK103" s="94" t="str">
        <x:f>IF(B103="","",SUM(AG103:AJ103))</x:f>
      </x:c>
      <x:c r="AL103" s="84" t="n">
        <x:f>IFERROR(AK103/AD103,0)</x:f>
        <x:v>0</x:v>
      </x:c>
      <x:c r="AM103" s="92"/>
      <x:c r="AN103" s="92"/>
      <x:c r="AO103" s="92"/>
      <x:c r="AP103" s="92"/>
      <x:c r="AQ103" s="25"/>
      <x:c r="AR103" s="25"/>
      <x:c r="AS103" s="86"/>
      <x:c r="AT103" s="86"/>
      <x:c r="AU103" s="86"/>
      <x:c r="AV103" s="90"/>
      <x:c r="AW103" s="86"/>
      <x:c r="AX103" s="88" t="str">
        <x:f>IF(B103="","",AV103*'Paramètres'!$B$4+AW103)</x:f>
      </x:c>
      <x:c r="AY103" s="25"/>
      <x:c r="AZ103" s="25"/>
      <x:c r="BA103" s="25"/>
    </x:row>
    <x:row r="104">
      <x:c r="A104" s="78" t="str">
        <x:f>IF(B104="","",ROW()-5)</x:f>
      </x:c>
      <x:c r="B104" s="80"/>
      <x:c r="C104" s="78" t="str">
        <x:f>IF(B104="","",YEAR(B104))</x:f>
      </x:c>
      <x:c r="D104" s="78" t="str">
        <x:f>IF(B104="","",CHOOSE(MONTH(B104),"Janvier","Février","Mars","Avril","Mai","Juin","Juillet","Août","Septembre","Octobre","Novembre","Décembre"))</x:f>
      </x:c>
      <x:c r="E104" s="78" t="str">
        <x:f>IF(B104="","",WEEKNUM(B104,2))</x:f>
      </x:c>
      <x:c r="F104" s="78" t="str">
        <x:f>IF(B104="","",CHOOSE(WEEKDAY(B104,2),"Lundi","Mardi","Mercredi","Jeudi","Vendredi","Samedi","Dimanche"))</x:f>
      </x:c>
      <x:c r="G104" s="82"/>
      <x:c r="H104" s="78" t="str">
        <x:f>IF(G104="","",IF(G104&lt;TIME(11,0,0),"Matin",IF(G104&lt;TIME(15,0,0),"Midi",IF(G104&lt;TIME(18,0,0),"Après-midi","Soir"))))</x:f>
      </x:c>
      <x:c r="I104" s="25"/>
      <x:c r="J104" s="25"/>
      <x:c r="K104" s="25"/>
      <x:c r="L104" s="25"/>
      <x:c r="M104" s="25"/>
      <x:c r="N104" s="25"/>
      <x:c r="O104" s="80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  <x:c r="AA104" s="25"/>
      <x:c r="AB104" s="25"/>
      <x:c r="AC104" s="92"/>
      <x:c r="AD104" s="92"/>
      <x:c r="AE104" s="92"/>
      <x:c r="AF104" s="92"/>
      <x:c r="AG104" s="92"/>
      <x:c r="AH104" s="92"/>
      <x:c r="AI104" s="92"/>
      <x:c r="AJ104" s="92"/>
      <x:c r="AK104" s="94" t="str">
        <x:f>IF(B104="","",SUM(AG104:AJ104))</x:f>
      </x:c>
      <x:c r="AL104" s="84" t="n">
        <x:f>IFERROR(AK104/AD104,0)</x:f>
        <x:v>0</x:v>
      </x:c>
      <x:c r="AM104" s="92"/>
      <x:c r="AN104" s="92"/>
      <x:c r="AO104" s="92"/>
      <x:c r="AP104" s="92"/>
      <x:c r="AQ104" s="25"/>
      <x:c r="AR104" s="25"/>
      <x:c r="AS104" s="86"/>
      <x:c r="AT104" s="86"/>
      <x:c r="AU104" s="86"/>
      <x:c r="AV104" s="90"/>
      <x:c r="AW104" s="86"/>
      <x:c r="AX104" s="88" t="str">
        <x:f>IF(B104="","",AV104*'Paramètres'!$B$4+AW104)</x:f>
      </x:c>
      <x:c r="AY104" s="25"/>
      <x:c r="AZ104" s="25"/>
      <x:c r="BA104" s="25"/>
    </x:row>
    <x:row r="105">
      <x:c r="A105" s="78" t="str">
        <x:f>IF(B105="","",ROW()-5)</x:f>
      </x:c>
      <x:c r="B105" s="80"/>
      <x:c r="C105" s="78" t="str">
        <x:f>IF(B105="","",YEAR(B105))</x:f>
      </x:c>
      <x:c r="D105" s="78" t="str">
        <x:f>IF(B105="","",CHOOSE(MONTH(B105),"Janvier","Février","Mars","Avril","Mai","Juin","Juillet","Août","Septembre","Octobre","Novembre","Décembre"))</x:f>
      </x:c>
      <x:c r="E105" s="78" t="str">
        <x:f>IF(B105="","",WEEKNUM(B105,2))</x:f>
      </x:c>
      <x:c r="F105" s="78" t="str">
        <x:f>IF(B105="","",CHOOSE(WEEKDAY(B105,2),"Lundi","Mardi","Mercredi","Jeudi","Vendredi","Samedi","Dimanche"))</x:f>
      </x:c>
      <x:c r="G105" s="82"/>
      <x:c r="H105" s="78" t="str">
        <x:f>IF(G105="","",IF(G105&lt;TIME(11,0,0),"Matin",IF(G105&lt;TIME(15,0,0),"Midi",IF(G105&lt;TIME(18,0,0),"Après-midi","Soir"))))</x:f>
      </x:c>
      <x:c r="I105" s="25"/>
      <x:c r="J105" s="25"/>
      <x:c r="K105" s="25"/>
      <x:c r="L105" s="25"/>
      <x:c r="M105" s="25"/>
      <x:c r="N105" s="25"/>
      <x:c r="O105" s="80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  <x:c r="AA105" s="25"/>
      <x:c r="AB105" s="25"/>
      <x:c r="AC105" s="92"/>
      <x:c r="AD105" s="92"/>
      <x:c r="AE105" s="92"/>
      <x:c r="AF105" s="92"/>
      <x:c r="AG105" s="92"/>
      <x:c r="AH105" s="92"/>
      <x:c r="AI105" s="92"/>
      <x:c r="AJ105" s="92"/>
      <x:c r="AK105" s="94" t="str">
        <x:f>IF(B105="","",SUM(AG105:AJ105))</x:f>
      </x:c>
      <x:c r="AL105" s="84" t="n">
        <x:f>IFERROR(AK105/AD105,0)</x:f>
        <x:v>0</x:v>
      </x:c>
      <x:c r="AM105" s="92"/>
      <x:c r="AN105" s="92"/>
      <x:c r="AO105" s="92"/>
      <x:c r="AP105" s="92"/>
      <x:c r="AQ105" s="25"/>
      <x:c r="AR105" s="25"/>
      <x:c r="AS105" s="86"/>
      <x:c r="AT105" s="86"/>
      <x:c r="AU105" s="86"/>
      <x:c r="AV105" s="90"/>
      <x:c r="AW105" s="86"/>
      <x:c r="AX105" s="88" t="str">
        <x:f>IF(B105="","",AV105*'Paramètres'!$B$4+AW105)</x:f>
      </x:c>
      <x:c r="AY105" s="25"/>
      <x:c r="AZ105" s="25"/>
      <x:c r="BA105" s="25"/>
    </x:row>
    <x:row r="106">
      <x:c r="A106" s="78" t="str">
        <x:f>IF(B106="","",ROW()-5)</x:f>
      </x:c>
      <x:c r="B106" s="80"/>
      <x:c r="C106" s="78" t="str">
        <x:f>IF(B106="","",YEAR(B106))</x:f>
      </x:c>
      <x:c r="D106" s="78" t="str">
        <x:f>IF(B106="","",CHOOSE(MONTH(B106),"Janvier","Février","Mars","Avril","Mai","Juin","Juillet","Août","Septembre","Octobre","Novembre","Décembre"))</x:f>
      </x:c>
      <x:c r="E106" s="78" t="str">
        <x:f>IF(B106="","",WEEKNUM(B106,2))</x:f>
      </x:c>
      <x:c r="F106" s="78" t="str">
        <x:f>IF(B106="","",CHOOSE(WEEKDAY(B106,2),"Lundi","Mardi","Mercredi","Jeudi","Vendredi","Samedi","Dimanche"))</x:f>
      </x:c>
      <x:c r="G106" s="82"/>
      <x:c r="H106" s="78" t="str">
        <x:f>IF(G106="","",IF(G106&lt;TIME(11,0,0),"Matin",IF(G106&lt;TIME(15,0,0),"Midi",IF(G106&lt;TIME(18,0,0),"Après-midi","Soir"))))</x:f>
      </x:c>
      <x:c r="I106" s="25"/>
      <x:c r="J106" s="25"/>
      <x:c r="K106" s="25"/>
      <x:c r="L106" s="25"/>
      <x:c r="M106" s="25"/>
      <x:c r="N106" s="25"/>
      <x:c r="O106" s="80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  <x:c r="AA106" s="25"/>
      <x:c r="AB106" s="25"/>
      <x:c r="AC106" s="92"/>
      <x:c r="AD106" s="92"/>
      <x:c r="AE106" s="92"/>
      <x:c r="AF106" s="92"/>
      <x:c r="AG106" s="92"/>
      <x:c r="AH106" s="92"/>
      <x:c r="AI106" s="92"/>
      <x:c r="AJ106" s="92"/>
      <x:c r="AK106" s="94" t="str">
        <x:f>IF(B106="","",SUM(AG106:AJ106))</x:f>
      </x:c>
      <x:c r="AL106" s="84" t="n">
        <x:f>IFERROR(AK106/AD106,0)</x:f>
        <x:v>0</x:v>
      </x:c>
      <x:c r="AM106" s="92"/>
      <x:c r="AN106" s="92"/>
      <x:c r="AO106" s="92"/>
      <x:c r="AP106" s="92"/>
      <x:c r="AQ106" s="25"/>
      <x:c r="AR106" s="25"/>
      <x:c r="AS106" s="86"/>
      <x:c r="AT106" s="86"/>
      <x:c r="AU106" s="86"/>
      <x:c r="AV106" s="90"/>
      <x:c r="AW106" s="86"/>
      <x:c r="AX106" s="88" t="str">
        <x:f>IF(B106="","",AV106*'Paramètres'!$B$4+AW106)</x:f>
      </x:c>
      <x:c r="AY106" s="25"/>
      <x:c r="AZ106" s="25"/>
      <x:c r="BA106" s="25"/>
    </x:row>
    <x:row r="107">
      <x:c r="A107" s="78" t="str">
        <x:f>IF(B107="","",ROW()-5)</x:f>
      </x:c>
      <x:c r="B107" s="80"/>
      <x:c r="C107" s="78" t="str">
        <x:f>IF(B107="","",YEAR(B107))</x:f>
      </x:c>
      <x:c r="D107" s="78" t="str">
        <x:f>IF(B107="","",CHOOSE(MONTH(B107),"Janvier","Février","Mars","Avril","Mai","Juin","Juillet","Août","Septembre","Octobre","Novembre","Décembre"))</x:f>
      </x:c>
      <x:c r="E107" s="78" t="str">
        <x:f>IF(B107="","",WEEKNUM(B107,2))</x:f>
      </x:c>
      <x:c r="F107" s="78" t="str">
        <x:f>IF(B107="","",CHOOSE(WEEKDAY(B107,2),"Lundi","Mardi","Mercredi","Jeudi","Vendredi","Samedi","Dimanche"))</x:f>
      </x:c>
      <x:c r="G107" s="82"/>
      <x:c r="H107" s="78" t="str">
        <x:f>IF(G107="","",IF(G107&lt;TIME(11,0,0),"Matin",IF(G107&lt;TIME(15,0,0),"Midi",IF(G107&lt;TIME(18,0,0),"Après-midi","Soir"))))</x:f>
      </x:c>
      <x:c r="I107" s="25"/>
      <x:c r="J107" s="25"/>
      <x:c r="K107" s="25"/>
      <x:c r="L107" s="25"/>
      <x:c r="M107" s="25"/>
      <x:c r="N107" s="25"/>
      <x:c r="O107" s="80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  <x:c r="AA107" s="25"/>
      <x:c r="AB107" s="25"/>
      <x:c r="AC107" s="92"/>
      <x:c r="AD107" s="92"/>
      <x:c r="AE107" s="92"/>
      <x:c r="AF107" s="92"/>
      <x:c r="AG107" s="92"/>
      <x:c r="AH107" s="92"/>
      <x:c r="AI107" s="92"/>
      <x:c r="AJ107" s="92"/>
      <x:c r="AK107" s="94" t="str">
        <x:f>IF(B107="","",SUM(AG107:AJ107))</x:f>
      </x:c>
      <x:c r="AL107" s="84" t="n">
        <x:f>IFERROR(AK107/AD107,0)</x:f>
        <x:v>0</x:v>
      </x:c>
      <x:c r="AM107" s="92"/>
      <x:c r="AN107" s="92"/>
      <x:c r="AO107" s="92"/>
      <x:c r="AP107" s="92"/>
      <x:c r="AQ107" s="25"/>
      <x:c r="AR107" s="25"/>
      <x:c r="AS107" s="86"/>
      <x:c r="AT107" s="86"/>
      <x:c r="AU107" s="86"/>
      <x:c r="AV107" s="90"/>
      <x:c r="AW107" s="86"/>
      <x:c r="AX107" s="88" t="str">
        <x:f>IF(B107="","",AV107*'Paramètres'!$B$4+AW107)</x:f>
      </x:c>
      <x:c r="AY107" s="25"/>
      <x:c r="AZ107" s="25"/>
      <x:c r="BA107" s="25"/>
    </x:row>
    <x:row r="108">
      <x:c r="A108" s="78" t="str">
        <x:f>IF(B108="","",ROW()-5)</x:f>
      </x:c>
      <x:c r="B108" s="80"/>
      <x:c r="C108" s="78" t="str">
        <x:f>IF(B108="","",YEAR(B108))</x:f>
      </x:c>
      <x:c r="D108" s="78" t="str">
        <x:f>IF(B108="","",CHOOSE(MONTH(B108),"Janvier","Février","Mars","Avril","Mai","Juin","Juillet","Août","Septembre","Octobre","Novembre","Décembre"))</x:f>
      </x:c>
      <x:c r="E108" s="78" t="str">
        <x:f>IF(B108="","",WEEKNUM(B108,2))</x:f>
      </x:c>
      <x:c r="F108" s="78" t="str">
        <x:f>IF(B108="","",CHOOSE(WEEKDAY(B108,2),"Lundi","Mardi","Mercredi","Jeudi","Vendredi","Samedi","Dimanche"))</x:f>
      </x:c>
      <x:c r="G108" s="82"/>
      <x:c r="H108" s="78" t="str">
        <x:f>IF(G108="","",IF(G108&lt;TIME(11,0,0),"Matin",IF(G108&lt;TIME(15,0,0),"Midi",IF(G108&lt;TIME(18,0,0),"Après-midi","Soir"))))</x:f>
      </x:c>
      <x:c r="I108" s="25"/>
      <x:c r="J108" s="25"/>
      <x:c r="K108" s="25"/>
      <x:c r="L108" s="25"/>
      <x:c r="M108" s="25"/>
      <x:c r="N108" s="25"/>
      <x:c r="O108" s="80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  <x:c r="AA108" s="25"/>
      <x:c r="AB108" s="25"/>
      <x:c r="AC108" s="92"/>
      <x:c r="AD108" s="92"/>
      <x:c r="AE108" s="92"/>
      <x:c r="AF108" s="92"/>
      <x:c r="AG108" s="92"/>
      <x:c r="AH108" s="92"/>
      <x:c r="AI108" s="92"/>
      <x:c r="AJ108" s="92"/>
      <x:c r="AK108" s="94" t="str">
        <x:f>IF(B108="","",SUM(AG108:AJ108))</x:f>
      </x:c>
      <x:c r="AL108" s="84" t="n">
        <x:f>IFERROR(AK108/AD108,0)</x:f>
        <x:v>0</x:v>
      </x:c>
      <x:c r="AM108" s="92"/>
      <x:c r="AN108" s="92"/>
      <x:c r="AO108" s="92"/>
      <x:c r="AP108" s="92"/>
      <x:c r="AQ108" s="25"/>
      <x:c r="AR108" s="25"/>
      <x:c r="AS108" s="86"/>
      <x:c r="AT108" s="86"/>
      <x:c r="AU108" s="86"/>
      <x:c r="AV108" s="90"/>
      <x:c r="AW108" s="86"/>
      <x:c r="AX108" s="88" t="str">
        <x:f>IF(B108="","",AV108*'Paramètres'!$B$4+AW108)</x:f>
      </x:c>
      <x:c r="AY108" s="25"/>
      <x:c r="AZ108" s="25"/>
      <x:c r="BA108" s="25"/>
    </x:row>
    <x:row r="109">
      <x:c r="A109" s="78" t="str">
        <x:f>IF(B109="","",ROW()-5)</x:f>
      </x:c>
      <x:c r="B109" s="80"/>
      <x:c r="C109" s="78" t="str">
        <x:f>IF(B109="","",YEAR(B109))</x:f>
      </x:c>
      <x:c r="D109" s="78" t="str">
        <x:f>IF(B109="","",CHOOSE(MONTH(B109),"Janvier","Février","Mars","Avril","Mai","Juin","Juillet","Août","Septembre","Octobre","Novembre","Décembre"))</x:f>
      </x:c>
      <x:c r="E109" s="78" t="str">
        <x:f>IF(B109="","",WEEKNUM(B109,2))</x:f>
      </x:c>
      <x:c r="F109" s="78" t="str">
        <x:f>IF(B109="","",CHOOSE(WEEKDAY(B109,2),"Lundi","Mardi","Mercredi","Jeudi","Vendredi","Samedi","Dimanche"))</x:f>
      </x:c>
      <x:c r="G109" s="82"/>
      <x:c r="H109" s="78" t="str">
        <x:f>IF(G109="","",IF(G109&lt;TIME(11,0,0),"Matin",IF(G109&lt;TIME(15,0,0),"Midi",IF(G109&lt;TIME(18,0,0),"Après-midi","Soir"))))</x:f>
      </x:c>
      <x:c r="I109" s="25"/>
      <x:c r="J109" s="25"/>
      <x:c r="K109" s="25"/>
      <x:c r="L109" s="25"/>
      <x:c r="M109" s="25"/>
      <x:c r="N109" s="25"/>
      <x:c r="O109" s="80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  <x:c r="AA109" s="25"/>
      <x:c r="AB109" s="25"/>
      <x:c r="AC109" s="92"/>
      <x:c r="AD109" s="92"/>
      <x:c r="AE109" s="92"/>
      <x:c r="AF109" s="92"/>
      <x:c r="AG109" s="92"/>
      <x:c r="AH109" s="92"/>
      <x:c r="AI109" s="92"/>
      <x:c r="AJ109" s="92"/>
      <x:c r="AK109" s="94" t="str">
        <x:f>IF(B109="","",SUM(AG109:AJ109))</x:f>
      </x:c>
      <x:c r="AL109" s="84" t="n">
        <x:f>IFERROR(AK109/AD109,0)</x:f>
        <x:v>0</x:v>
      </x:c>
      <x:c r="AM109" s="92"/>
      <x:c r="AN109" s="92"/>
      <x:c r="AO109" s="92"/>
      <x:c r="AP109" s="92"/>
      <x:c r="AQ109" s="25"/>
      <x:c r="AR109" s="25"/>
      <x:c r="AS109" s="86"/>
      <x:c r="AT109" s="86"/>
      <x:c r="AU109" s="86"/>
      <x:c r="AV109" s="90"/>
      <x:c r="AW109" s="86"/>
      <x:c r="AX109" s="88" t="str">
        <x:f>IF(B109="","",AV109*'Paramètres'!$B$4+AW109)</x:f>
      </x:c>
      <x:c r="AY109" s="25"/>
      <x:c r="AZ109" s="25"/>
      <x:c r="BA109" s="25"/>
    </x:row>
    <x:row r="110">
      <x:c r="A110" s="78" t="str">
        <x:f>IF(B110="","",ROW()-5)</x:f>
      </x:c>
      <x:c r="B110" s="80"/>
      <x:c r="C110" s="78" t="str">
        <x:f>IF(B110="","",YEAR(B110))</x:f>
      </x:c>
      <x:c r="D110" s="78" t="str">
        <x:f>IF(B110="","",CHOOSE(MONTH(B110),"Janvier","Février","Mars","Avril","Mai","Juin","Juillet","Août","Septembre","Octobre","Novembre","Décembre"))</x:f>
      </x:c>
      <x:c r="E110" s="78" t="str">
        <x:f>IF(B110="","",WEEKNUM(B110,2))</x:f>
      </x:c>
      <x:c r="F110" s="78" t="str">
        <x:f>IF(B110="","",CHOOSE(WEEKDAY(B110,2),"Lundi","Mardi","Mercredi","Jeudi","Vendredi","Samedi","Dimanche"))</x:f>
      </x:c>
      <x:c r="G110" s="82"/>
      <x:c r="H110" s="78" t="str">
        <x:f>IF(G110="","",IF(G110&lt;TIME(11,0,0),"Matin",IF(G110&lt;TIME(15,0,0),"Midi",IF(G110&lt;TIME(18,0,0),"Après-midi","Soir"))))</x:f>
      </x:c>
      <x:c r="I110" s="25"/>
      <x:c r="J110" s="25"/>
      <x:c r="K110" s="25"/>
      <x:c r="L110" s="25"/>
      <x:c r="M110" s="25"/>
      <x:c r="N110" s="25"/>
      <x:c r="O110" s="80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  <x:c r="AA110" s="25"/>
      <x:c r="AB110" s="25"/>
      <x:c r="AC110" s="92"/>
      <x:c r="AD110" s="92"/>
      <x:c r="AE110" s="92"/>
      <x:c r="AF110" s="92"/>
      <x:c r="AG110" s="92"/>
      <x:c r="AH110" s="92"/>
      <x:c r="AI110" s="92"/>
      <x:c r="AJ110" s="92"/>
      <x:c r="AK110" s="94" t="str">
        <x:f>IF(B110="","",SUM(AG110:AJ110))</x:f>
      </x:c>
      <x:c r="AL110" s="84" t="n">
        <x:f>IFERROR(AK110/AD110,0)</x:f>
        <x:v>0</x:v>
      </x:c>
      <x:c r="AM110" s="92"/>
      <x:c r="AN110" s="92"/>
      <x:c r="AO110" s="92"/>
      <x:c r="AP110" s="92"/>
      <x:c r="AQ110" s="25"/>
      <x:c r="AR110" s="25"/>
      <x:c r="AS110" s="86"/>
      <x:c r="AT110" s="86"/>
      <x:c r="AU110" s="86"/>
      <x:c r="AV110" s="90"/>
      <x:c r="AW110" s="86"/>
      <x:c r="AX110" s="88" t="str">
        <x:f>IF(B110="","",AV110*'Paramètres'!$B$4+AW110)</x:f>
      </x:c>
      <x:c r="AY110" s="25"/>
      <x:c r="AZ110" s="25"/>
      <x:c r="BA110" s="25"/>
    </x:row>
    <x:row r="111">
      <x:c r="A111" s="78" t="str">
        <x:f>IF(B111="","",ROW()-5)</x:f>
      </x:c>
      <x:c r="B111" s="80"/>
      <x:c r="C111" s="78" t="str">
        <x:f>IF(B111="","",YEAR(B111))</x:f>
      </x:c>
      <x:c r="D111" s="78" t="str">
        <x:f>IF(B111="","",CHOOSE(MONTH(B111),"Janvier","Février","Mars","Avril","Mai","Juin","Juillet","Août","Septembre","Octobre","Novembre","Décembre"))</x:f>
      </x:c>
      <x:c r="E111" s="78" t="str">
        <x:f>IF(B111="","",WEEKNUM(B111,2))</x:f>
      </x:c>
      <x:c r="F111" s="78" t="str">
        <x:f>IF(B111="","",CHOOSE(WEEKDAY(B111,2),"Lundi","Mardi","Mercredi","Jeudi","Vendredi","Samedi","Dimanche"))</x:f>
      </x:c>
      <x:c r="G111" s="82"/>
      <x:c r="H111" s="78" t="str">
        <x:f>IF(G111="","",IF(G111&lt;TIME(11,0,0),"Matin",IF(G111&lt;TIME(15,0,0),"Midi",IF(G111&lt;TIME(18,0,0),"Après-midi","Soir"))))</x:f>
      </x:c>
      <x:c r="I111" s="25"/>
      <x:c r="J111" s="25"/>
      <x:c r="K111" s="25"/>
      <x:c r="L111" s="25"/>
      <x:c r="M111" s="25"/>
      <x:c r="N111" s="25"/>
      <x:c r="O111" s="80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  <x:c r="AA111" s="25"/>
      <x:c r="AB111" s="25"/>
      <x:c r="AC111" s="92"/>
      <x:c r="AD111" s="92"/>
      <x:c r="AE111" s="92"/>
      <x:c r="AF111" s="92"/>
      <x:c r="AG111" s="92"/>
      <x:c r="AH111" s="92"/>
      <x:c r="AI111" s="92"/>
      <x:c r="AJ111" s="92"/>
      <x:c r="AK111" s="94" t="str">
        <x:f>IF(B111="","",SUM(AG111:AJ111))</x:f>
      </x:c>
      <x:c r="AL111" s="84" t="n">
        <x:f>IFERROR(AK111/AD111,0)</x:f>
        <x:v>0</x:v>
      </x:c>
      <x:c r="AM111" s="92"/>
      <x:c r="AN111" s="92"/>
      <x:c r="AO111" s="92"/>
      <x:c r="AP111" s="92"/>
      <x:c r="AQ111" s="25"/>
      <x:c r="AR111" s="25"/>
      <x:c r="AS111" s="86"/>
      <x:c r="AT111" s="86"/>
      <x:c r="AU111" s="86"/>
      <x:c r="AV111" s="90"/>
      <x:c r="AW111" s="86"/>
      <x:c r="AX111" s="88" t="str">
        <x:f>IF(B111="","",AV111*'Paramètres'!$B$4+AW111)</x:f>
      </x:c>
      <x:c r="AY111" s="25"/>
      <x:c r="AZ111" s="25"/>
      <x:c r="BA111" s="25"/>
    </x:row>
    <x:row r="112">
      <x:c r="A112" s="78" t="str">
        <x:f>IF(B112="","",ROW()-5)</x:f>
      </x:c>
      <x:c r="B112" s="80"/>
      <x:c r="C112" s="78" t="str">
        <x:f>IF(B112="","",YEAR(B112))</x:f>
      </x:c>
      <x:c r="D112" s="78" t="str">
        <x:f>IF(B112="","",CHOOSE(MONTH(B112),"Janvier","Février","Mars","Avril","Mai","Juin","Juillet","Août","Septembre","Octobre","Novembre","Décembre"))</x:f>
      </x:c>
      <x:c r="E112" s="78" t="str">
        <x:f>IF(B112="","",WEEKNUM(B112,2))</x:f>
      </x:c>
      <x:c r="F112" s="78" t="str">
        <x:f>IF(B112="","",CHOOSE(WEEKDAY(B112,2),"Lundi","Mardi","Mercredi","Jeudi","Vendredi","Samedi","Dimanche"))</x:f>
      </x:c>
      <x:c r="G112" s="82"/>
      <x:c r="H112" s="78" t="str">
        <x:f>IF(G112="","",IF(G112&lt;TIME(11,0,0),"Matin",IF(G112&lt;TIME(15,0,0),"Midi",IF(G112&lt;TIME(18,0,0),"Après-midi","Soir"))))</x:f>
      </x:c>
      <x:c r="I112" s="25"/>
      <x:c r="J112" s="25"/>
      <x:c r="K112" s="25"/>
      <x:c r="L112" s="25"/>
      <x:c r="M112" s="25"/>
      <x:c r="N112" s="25"/>
      <x:c r="O112" s="80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  <x:c r="AA112" s="25"/>
      <x:c r="AB112" s="25"/>
      <x:c r="AC112" s="92"/>
      <x:c r="AD112" s="92"/>
      <x:c r="AE112" s="92"/>
      <x:c r="AF112" s="92"/>
      <x:c r="AG112" s="92"/>
      <x:c r="AH112" s="92"/>
      <x:c r="AI112" s="92"/>
      <x:c r="AJ112" s="92"/>
      <x:c r="AK112" s="94" t="str">
        <x:f>IF(B112="","",SUM(AG112:AJ112))</x:f>
      </x:c>
      <x:c r="AL112" s="84" t="n">
        <x:f>IFERROR(AK112/AD112,0)</x:f>
        <x:v>0</x:v>
      </x:c>
      <x:c r="AM112" s="92"/>
      <x:c r="AN112" s="92"/>
      <x:c r="AO112" s="92"/>
      <x:c r="AP112" s="92"/>
      <x:c r="AQ112" s="25"/>
      <x:c r="AR112" s="25"/>
      <x:c r="AS112" s="86"/>
      <x:c r="AT112" s="86"/>
      <x:c r="AU112" s="86"/>
      <x:c r="AV112" s="90"/>
      <x:c r="AW112" s="86"/>
      <x:c r="AX112" s="88" t="str">
        <x:f>IF(B112="","",AV112*'Paramètres'!$B$4+AW112)</x:f>
      </x:c>
      <x:c r="AY112" s="25"/>
      <x:c r="AZ112" s="25"/>
      <x:c r="BA112" s="25"/>
    </x:row>
    <x:row r="113">
      <x:c r="A113" s="78" t="str">
        <x:f>IF(B113="","",ROW()-5)</x:f>
      </x:c>
      <x:c r="B113" s="80"/>
      <x:c r="C113" s="78" t="str">
        <x:f>IF(B113="","",YEAR(B113))</x:f>
      </x:c>
      <x:c r="D113" s="78" t="str">
        <x:f>IF(B113="","",CHOOSE(MONTH(B113),"Janvier","Février","Mars","Avril","Mai","Juin","Juillet","Août","Septembre","Octobre","Novembre","Décembre"))</x:f>
      </x:c>
      <x:c r="E113" s="78" t="str">
        <x:f>IF(B113="","",WEEKNUM(B113,2))</x:f>
      </x:c>
      <x:c r="F113" s="78" t="str">
        <x:f>IF(B113="","",CHOOSE(WEEKDAY(B113,2),"Lundi","Mardi","Mercredi","Jeudi","Vendredi","Samedi","Dimanche"))</x:f>
      </x:c>
      <x:c r="G113" s="82"/>
      <x:c r="H113" s="78" t="str">
        <x:f>IF(G113="","",IF(G113&lt;TIME(11,0,0),"Matin",IF(G113&lt;TIME(15,0,0),"Midi",IF(G113&lt;TIME(18,0,0),"Après-midi","Soir"))))</x:f>
      </x:c>
      <x:c r="I113" s="25"/>
      <x:c r="J113" s="25"/>
      <x:c r="K113" s="25"/>
      <x:c r="L113" s="25"/>
      <x:c r="M113" s="25"/>
      <x:c r="N113" s="25"/>
      <x:c r="O113" s="80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  <x:c r="AA113" s="25"/>
      <x:c r="AB113" s="25"/>
      <x:c r="AC113" s="92"/>
      <x:c r="AD113" s="92"/>
      <x:c r="AE113" s="92"/>
      <x:c r="AF113" s="92"/>
      <x:c r="AG113" s="92"/>
      <x:c r="AH113" s="92"/>
      <x:c r="AI113" s="92"/>
      <x:c r="AJ113" s="92"/>
      <x:c r="AK113" s="94" t="str">
        <x:f>IF(B113="","",SUM(AG113:AJ113))</x:f>
      </x:c>
      <x:c r="AL113" s="84" t="n">
        <x:f>IFERROR(AK113/AD113,0)</x:f>
        <x:v>0</x:v>
      </x:c>
      <x:c r="AM113" s="92"/>
      <x:c r="AN113" s="92"/>
      <x:c r="AO113" s="92"/>
      <x:c r="AP113" s="92"/>
      <x:c r="AQ113" s="25"/>
      <x:c r="AR113" s="25"/>
      <x:c r="AS113" s="86"/>
      <x:c r="AT113" s="86"/>
      <x:c r="AU113" s="86"/>
      <x:c r="AV113" s="90"/>
      <x:c r="AW113" s="86"/>
      <x:c r="AX113" s="88" t="str">
        <x:f>IF(B113="","",AV113*'Paramètres'!$B$4+AW113)</x:f>
      </x:c>
      <x:c r="AY113" s="25"/>
      <x:c r="AZ113" s="25"/>
      <x:c r="BA113" s="25"/>
    </x:row>
    <x:row r="114">
      <x:c r="A114" s="78" t="str">
        <x:f>IF(B114="","",ROW()-5)</x:f>
      </x:c>
      <x:c r="B114" s="80"/>
      <x:c r="C114" s="78" t="str">
        <x:f>IF(B114="","",YEAR(B114))</x:f>
      </x:c>
      <x:c r="D114" s="78" t="str">
        <x:f>IF(B114="","",CHOOSE(MONTH(B114),"Janvier","Février","Mars","Avril","Mai","Juin","Juillet","Août","Septembre","Octobre","Novembre","Décembre"))</x:f>
      </x:c>
      <x:c r="E114" s="78" t="str">
        <x:f>IF(B114="","",WEEKNUM(B114,2))</x:f>
      </x:c>
      <x:c r="F114" s="78" t="str">
        <x:f>IF(B114="","",CHOOSE(WEEKDAY(B114,2),"Lundi","Mardi","Mercredi","Jeudi","Vendredi","Samedi","Dimanche"))</x:f>
      </x:c>
      <x:c r="G114" s="82"/>
      <x:c r="H114" s="78" t="str">
        <x:f>IF(G114="","",IF(G114&lt;TIME(11,0,0),"Matin",IF(G114&lt;TIME(15,0,0),"Midi",IF(G114&lt;TIME(18,0,0),"Après-midi","Soir"))))</x:f>
      </x:c>
      <x:c r="I114" s="25"/>
      <x:c r="J114" s="25"/>
      <x:c r="K114" s="25"/>
      <x:c r="L114" s="25"/>
      <x:c r="M114" s="25"/>
      <x:c r="N114" s="25"/>
      <x:c r="O114" s="80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  <x:c r="AA114" s="25"/>
      <x:c r="AB114" s="25"/>
      <x:c r="AC114" s="92"/>
      <x:c r="AD114" s="92"/>
      <x:c r="AE114" s="92"/>
      <x:c r="AF114" s="92"/>
      <x:c r="AG114" s="92"/>
      <x:c r="AH114" s="92"/>
      <x:c r="AI114" s="92"/>
      <x:c r="AJ114" s="92"/>
      <x:c r="AK114" s="94" t="str">
        <x:f>IF(B114="","",SUM(AG114:AJ114))</x:f>
      </x:c>
      <x:c r="AL114" s="84" t="n">
        <x:f>IFERROR(AK114/AD114,0)</x:f>
        <x:v>0</x:v>
      </x:c>
      <x:c r="AM114" s="92"/>
      <x:c r="AN114" s="92"/>
      <x:c r="AO114" s="92"/>
      <x:c r="AP114" s="92"/>
      <x:c r="AQ114" s="25"/>
      <x:c r="AR114" s="25"/>
      <x:c r="AS114" s="86"/>
      <x:c r="AT114" s="86"/>
      <x:c r="AU114" s="86"/>
      <x:c r="AV114" s="90"/>
      <x:c r="AW114" s="86"/>
      <x:c r="AX114" s="88" t="str">
        <x:f>IF(B114="","",AV114*'Paramètres'!$B$4+AW114)</x:f>
      </x:c>
      <x:c r="AY114" s="25"/>
      <x:c r="AZ114" s="25"/>
      <x:c r="BA114" s="25"/>
    </x:row>
    <x:row r="115">
      <x:c r="A115" s="78" t="str">
        <x:f>IF(B115="","",ROW()-5)</x:f>
      </x:c>
      <x:c r="B115" s="80"/>
      <x:c r="C115" s="78" t="str">
        <x:f>IF(B115="","",YEAR(B115))</x:f>
      </x:c>
      <x:c r="D115" s="78" t="str">
        <x:f>IF(B115="","",CHOOSE(MONTH(B115),"Janvier","Février","Mars","Avril","Mai","Juin","Juillet","Août","Septembre","Octobre","Novembre","Décembre"))</x:f>
      </x:c>
      <x:c r="E115" s="78" t="str">
        <x:f>IF(B115="","",WEEKNUM(B115,2))</x:f>
      </x:c>
      <x:c r="F115" s="78" t="str">
        <x:f>IF(B115="","",CHOOSE(WEEKDAY(B115,2),"Lundi","Mardi","Mercredi","Jeudi","Vendredi","Samedi","Dimanche"))</x:f>
      </x:c>
      <x:c r="G115" s="82"/>
      <x:c r="H115" s="78" t="str">
        <x:f>IF(G115="","",IF(G115&lt;TIME(11,0,0),"Matin",IF(G115&lt;TIME(15,0,0),"Midi",IF(G115&lt;TIME(18,0,0),"Après-midi","Soir"))))</x:f>
      </x:c>
      <x:c r="I115" s="25"/>
      <x:c r="J115" s="25"/>
      <x:c r="K115" s="25"/>
      <x:c r="L115" s="25"/>
      <x:c r="M115" s="25"/>
      <x:c r="N115" s="25"/>
      <x:c r="O115" s="80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  <x:c r="AA115" s="25"/>
      <x:c r="AB115" s="25"/>
      <x:c r="AC115" s="92"/>
      <x:c r="AD115" s="92"/>
      <x:c r="AE115" s="92"/>
      <x:c r="AF115" s="92"/>
      <x:c r="AG115" s="92"/>
      <x:c r="AH115" s="92"/>
      <x:c r="AI115" s="92"/>
      <x:c r="AJ115" s="92"/>
      <x:c r="AK115" s="94" t="str">
        <x:f>IF(B115="","",SUM(AG115:AJ115))</x:f>
      </x:c>
      <x:c r="AL115" s="84" t="n">
        <x:f>IFERROR(AK115/AD115,0)</x:f>
        <x:v>0</x:v>
      </x:c>
      <x:c r="AM115" s="92"/>
      <x:c r="AN115" s="92"/>
      <x:c r="AO115" s="92"/>
      <x:c r="AP115" s="92"/>
      <x:c r="AQ115" s="25"/>
      <x:c r="AR115" s="25"/>
      <x:c r="AS115" s="86"/>
      <x:c r="AT115" s="86"/>
      <x:c r="AU115" s="86"/>
      <x:c r="AV115" s="90"/>
      <x:c r="AW115" s="86"/>
      <x:c r="AX115" s="88" t="str">
        <x:f>IF(B115="","",AV115*'Paramètres'!$B$4+AW115)</x:f>
      </x:c>
      <x:c r="AY115" s="25"/>
      <x:c r="AZ115" s="25"/>
      <x:c r="BA115" s="25"/>
    </x:row>
    <x:row r="116">
      <x:c r="A116" s="78" t="str">
        <x:f>IF(B116="","",ROW()-5)</x:f>
      </x:c>
      <x:c r="B116" s="80"/>
      <x:c r="C116" s="78" t="str">
        <x:f>IF(B116="","",YEAR(B116))</x:f>
      </x:c>
      <x:c r="D116" s="78" t="str">
        <x:f>IF(B116="","",CHOOSE(MONTH(B116),"Janvier","Février","Mars","Avril","Mai","Juin","Juillet","Août","Septembre","Octobre","Novembre","Décembre"))</x:f>
      </x:c>
      <x:c r="E116" s="78" t="str">
        <x:f>IF(B116="","",WEEKNUM(B116,2))</x:f>
      </x:c>
      <x:c r="F116" s="78" t="str">
        <x:f>IF(B116="","",CHOOSE(WEEKDAY(B116,2),"Lundi","Mardi","Mercredi","Jeudi","Vendredi","Samedi","Dimanche"))</x:f>
      </x:c>
      <x:c r="G116" s="82"/>
      <x:c r="H116" s="78" t="str">
        <x:f>IF(G116="","",IF(G116&lt;TIME(11,0,0),"Matin",IF(G116&lt;TIME(15,0,0),"Midi",IF(G116&lt;TIME(18,0,0),"Après-midi","Soir"))))</x:f>
      </x:c>
      <x:c r="I116" s="25"/>
      <x:c r="J116" s="25"/>
      <x:c r="K116" s="25"/>
      <x:c r="L116" s="25"/>
      <x:c r="M116" s="25"/>
      <x:c r="N116" s="25"/>
      <x:c r="O116" s="80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  <x:c r="AA116" s="25"/>
      <x:c r="AB116" s="25"/>
      <x:c r="AC116" s="92"/>
      <x:c r="AD116" s="92"/>
      <x:c r="AE116" s="92"/>
      <x:c r="AF116" s="92"/>
      <x:c r="AG116" s="92"/>
      <x:c r="AH116" s="92"/>
      <x:c r="AI116" s="92"/>
      <x:c r="AJ116" s="92"/>
      <x:c r="AK116" s="94" t="str">
        <x:f>IF(B116="","",SUM(AG116:AJ116))</x:f>
      </x:c>
      <x:c r="AL116" s="84" t="n">
        <x:f>IFERROR(AK116/AD116,0)</x:f>
        <x:v>0</x:v>
      </x:c>
      <x:c r="AM116" s="92"/>
      <x:c r="AN116" s="92"/>
      <x:c r="AO116" s="92"/>
      <x:c r="AP116" s="92"/>
      <x:c r="AQ116" s="25"/>
      <x:c r="AR116" s="25"/>
      <x:c r="AS116" s="86"/>
      <x:c r="AT116" s="86"/>
      <x:c r="AU116" s="86"/>
      <x:c r="AV116" s="90"/>
      <x:c r="AW116" s="86"/>
      <x:c r="AX116" s="88" t="str">
        <x:f>IF(B116="","",AV116*'Paramètres'!$B$4+AW116)</x:f>
      </x:c>
      <x:c r="AY116" s="25"/>
      <x:c r="AZ116" s="25"/>
      <x:c r="BA116" s="25"/>
    </x:row>
    <x:row r="117">
      <x:c r="A117" s="78" t="str">
        <x:f>IF(B117="","",ROW()-5)</x:f>
      </x:c>
      <x:c r="B117" s="80"/>
      <x:c r="C117" s="78" t="str">
        <x:f>IF(B117="","",YEAR(B117))</x:f>
      </x:c>
      <x:c r="D117" s="78" t="str">
        <x:f>IF(B117="","",CHOOSE(MONTH(B117),"Janvier","Février","Mars","Avril","Mai","Juin","Juillet","Août","Septembre","Octobre","Novembre","Décembre"))</x:f>
      </x:c>
      <x:c r="E117" s="78" t="str">
        <x:f>IF(B117="","",WEEKNUM(B117,2))</x:f>
      </x:c>
      <x:c r="F117" s="78" t="str">
        <x:f>IF(B117="","",CHOOSE(WEEKDAY(B117,2),"Lundi","Mardi","Mercredi","Jeudi","Vendredi","Samedi","Dimanche"))</x:f>
      </x:c>
      <x:c r="G117" s="82"/>
      <x:c r="H117" s="78" t="str">
        <x:f>IF(G117="","",IF(G117&lt;TIME(11,0,0),"Matin",IF(G117&lt;TIME(15,0,0),"Midi",IF(G117&lt;TIME(18,0,0),"Après-midi","Soir"))))</x:f>
      </x:c>
      <x:c r="I117" s="25"/>
      <x:c r="J117" s="25"/>
      <x:c r="K117" s="25"/>
      <x:c r="L117" s="25"/>
      <x:c r="M117" s="25"/>
      <x:c r="N117" s="25"/>
      <x:c r="O117" s="80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  <x:c r="AA117" s="25"/>
      <x:c r="AB117" s="25"/>
      <x:c r="AC117" s="92"/>
      <x:c r="AD117" s="92"/>
      <x:c r="AE117" s="92"/>
      <x:c r="AF117" s="92"/>
      <x:c r="AG117" s="92"/>
      <x:c r="AH117" s="92"/>
      <x:c r="AI117" s="92"/>
      <x:c r="AJ117" s="92"/>
      <x:c r="AK117" s="94" t="str">
        <x:f>IF(B117="","",SUM(AG117:AJ117))</x:f>
      </x:c>
      <x:c r="AL117" s="84" t="n">
        <x:f>IFERROR(AK117/AD117,0)</x:f>
        <x:v>0</x:v>
      </x:c>
      <x:c r="AM117" s="92"/>
      <x:c r="AN117" s="92"/>
      <x:c r="AO117" s="92"/>
      <x:c r="AP117" s="92"/>
      <x:c r="AQ117" s="25"/>
      <x:c r="AR117" s="25"/>
      <x:c r="AS117" s="86"/>
      <x:c r="AT117" s="86"/>
      <x:c r="AU117" s="86"/>
      <x:c r="AV117" s="90"/>
      <x:c r="AW117" s="86"/>
      <x:c r="AX117" s="88" t="str">
        <x:f>IF(B117="","",AV117*'Paramètres'!$B$4+AW117)</x:f>
      </x:c>
      <x:c r="AY117" s="25"/>
      <x:c r="AZ117" s="25"/>
      <x:c r="BA117" s="25"/>
    </x:row>
    <x:row r="118">
      <x:c r="A118" s="78" t="str">
        <x:f>IF(B118="","",ROW()-5)</x:f>
      </x:c>
      <x:c r="B118" s="80"/>
      <x:c r="C118" s="78" t="str">
        <x:f>IF(B118="","",YEAR(B118))</x:f>
      </x:c>
      <x:c r="D118" s="78" t="str">
        <x:f>IF(B118="","",CHOOSE(MONTH(B118),"Janvier","Février","Mars","Avril","Mai","Juin","Juillet","Août","Septembre","Octobre","Novembre","Décembre"))</x:f>
      </x:c>
      <x:c r="E118" s="78" t="str">
        <x:f>IF(B118="","",WEEKNUM(B118,2))</x:f>
      </x:c>
      <x:c r="F118" s="78" t="str">
        <x:f>IF(B118="","",CHOOSE(WEEKDAY(B118,2),"Lundi","Mardi","Mercredi","Jeudi","Vendredi","Samedi","Dimanche"))</x:f>
      </x:c>
      <x:c r="G118" s="82"/>
      <x:c r="H118" s="78" t="str">
        <x:f>IF(G118="","",IF(G118&lt;TIME(11,0,0),"Matin",IF(G118&lt;TIME(15,0,0),"Midi",IF(G118&lt;TIME(18,0,0),"Après-midi","Soir"))))</x:f>
      </x:c>
      <x:c r="I118" s="25"/>
      <x:c r="J118" s="25"/>
      <x:c r="K118" s="25"/>
      <x:c r="L118" s="25"/>
      <x:c r="M118" s="25"/>
      <x:c r="N118" s="25"/>
      <x:c r="O118" s="80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  <x:c r="AA118" s="25"/>
      <x:c r="AB118" s="25"/>
      <x:c r="AC118" s="92"/>
      <x:c r="AD118" s="92"/>
      <x:c r="AE118" s="92"/>
      <x:c r="AF118" s="92"/>
      <x:c r="AG118" s="92"/>
      <x:c r="AH118" s="92"/>
      <x:c r="AI118" s="92"/>
      <x:c r="AJ118" s="92"/>
      <x:c r="AK118" s="94" t="str">
        <x:f>IF(B118="","",SUM(AG118:AJ118))</x:f>
      </x:c>
      <x:c r="AL118" s="84" t="n">
        <x:f>IFERROR(AK118/AD118,0)</x:f>
        <x:v>0</x:v>
      </x:c>
      <x:c r="AM118" s="92"/>
      <x:c r="AN118" s="92"/>
      <x:c r="AO118" s="92"/>
      <x:c r="AP118" s="92"/>
      <x:c r="AQ118" s="25"/>
      <x:c r="AR118" s="25"/>
      <x:c r="AS118" s="86"/>
      <x:c r="AT118" s="86"/>
      <x:c r="AU118" s="86"/>
      <x:c r="AV118" s="90"/>
      <x:c r="AW118" s="86"/>
      <x:c r="AX118" s="88" t="str">
        <x:f>IF(B118="","",AV118*'Paramètres'!$B$4+AW118)</x:f>
      </x:c>
      <x:c r="AY118" s="25"/>
      <x:c r="AZ118" s="25"/>
      <x:c r="BA118" s="25"/>
    </x:row>
    <x:row r="119">
      <x:c r="A119" s="78" t="str">
        <x:f>IF(B119="","",ROW()-5)</x:f>
      </x:c>
      <x:c r="B119" s="80"/>
      <x:c r="C119" s="78" t="str">
        <x:f>IF(B119="","",YEAR(B119))</x:f>
      </x:c>
      <x:c r="D119" s="78" t="str">
        <x:f>IF(B119="","",CHOOSE(MONTH(B119),"Janvier","Février","Mars","Avril","Mai","Juin","Juillet","Août","Septembre","Octobre","Novembre","Décembre"))</x:f>
      </x:c>
      <x:c r="E119" s="78" t="str">
        <x:f>IF(B119="","",WEEKNUM(B119,2))</x:f>
      </x:c>
      <x:c r="F119" s="78" t="str">
        <x:f>IF(B119="","",CHOOSE(WEEKDAY(B119,2),"Lundi","Mardi","Mercredi","Jeudi","Vendredi","Samedi","Dimanche"))</x:f>
      </x:c>
      <x:c r="G119" s="82"/>
      <x:c r="H119" s="78" t="str">
        <x:f>IF(G119="","",IF(G119&lt;TIME(11,0,0),"Matin",IF(G119&lt;TIME(15,0,0),"Midi",IF(G119&lt;TIME(18,0,0),"Après-midi","Soir"))))</x:f>
      </x:c>
      <x:c r="I119" s="25"/>
      <x:c r="J119" s="25"/>
      <x:c r="K119" s="25"/>
      <x:c r="L119" s="25"/>
      <x:c r="M119" s="25"/>
      <x:c r="N119" s="25"/>
      <x:c r="O119" s="80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  <x:c r="AA119" s="25"/>
      <x:c r="AB119" s="25"/>
      <x:c r="AC119" s="92"/>
      <x:c r="AD119" s="92"/>
      <x:c r="AE119" s="92"/>
      <x:c r="AF119" s="92"/>
      <x:c r="AG119" s="92"/>
      <x:c r="AH119" s="92"/>
      <x:c r="AI119" s="92"/>
      <x:c r="AJ119" s="92"/>
      <x:c r="AK119" s="94" t="str">
        <x:f>IF(B119="","",SUM(AG119:AJ119))</x:f>
      </x:c>
      <x:c r="AL119" s="84" t="n">
        <x:f>IFERROR(AK119/AD119,0)</x:f>
        <x:v>0</x:v>
      </x:c>
      <x:c r="AM119" s="92"/>
      <x:c r="AN119" s="92"/>
      <x:c r="AO119" s="92"/>
      <x:c r="AP119" s="92"/>
      <x:c r="AQ119" s="25"/>
      <x:c r="AR119" s="25"/>
      <x:c r="AS119" s="86"/>
      <x:c r="AT119" s="86"/>
      <x:c r="AU119" s="86"/>
      <x:c r="AV119" s="90"/>
      <x:c r="AW119" s="86"/>
      <x:c r="AX119" s="88" t="str">
        <x:f>IF(B119="","",AV119*'Paramètres'!$B$4+AW119)</x:f>
      </x:c>
      <x:c r="AY119" s="25"/>
      <x:c r="AZ119" s="25"/>
      <x:c r="BA119" s="25"/>
    </x:row>
    <x:row r="120">
      <x:c r="A120" s="78" t="str">
        <x:f>IF(B120="","",ROW()-5)</x:f>
      </x:c>
      <x:c r="B120" s="80"/>
      <x:c r="C120" s="78" t="str">
        <x:f>IF(B120="","",YEAR(B120))</x:f>
      </x:c>
      <x:c r="D120" s="78" t="str">
        <x:f>IF(B120="","",CHOOSE(MONTH(B120),"Janvier","Février","Mars","Avril","Mai","Juin","Juillet","Août","Septembre","Octobre","Novembre","Décembre"))</x:f>
      </x:c>
      <x:c r="E120" s="78" t="str">
        <x:f>IF(B120="","",WEEKNUM(B120,2))</x:f>
      </x:c>
      <x:c r="F120" s="78" t="str">
        <x:f>IF(B120="","",CHOOSE(WEEKDAY(B120,2),"Lundi","Mardi","Mercredi","Jeudi","Vendredi","Samedi","Dimanche"))</x:f>
      </x:c>
      <x:c r="G120" s="82"/>
      <x:c r="H120" s="78" t="str">
        <x:f>IF(G120="","",IF(G120&lt;TIME(11,0,0),"Matin",IF(G120&lt;TIME(15,0,0),"Midi",IF(G120&lt;TIME(18,0,0),"Après-midi","Soir"))))</x:f>
      </x:c>
      <x:c r="I120" s="25"/>
      <x:c r="J120" s="25"/>
      <x:c r="K120" s="25"/>
      <x:c r="L120" s="25"/>
      <x:c r="M120" s="25"/>
      <x:c r="N120" s="25"/>
      <x:c r="O120" s="80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  <x:c r="AA120" s="25"/>
      <x:c r="AB120" s="25"/>
      <x:c r="AC120" s="92"/>
      <x:c r="AD120" s="92"/>
      <x:c r="AE120" s="92"/>
      <x:c r="AF120" s="92"/>
      <x:c r="AG120" s="92"/>
      <x:c r="AH120" s="92"/>
      <x:c r="AI120" s="92"/>
      <x:c r="AJ120" s="92"/>
      <x:c r="AK120" s="94" t="str">
        <x:f>IF(B120="","",SUM(AG120:AJ120))</x:f>
      </x:c>
      <x:c r="AL120" s="84" t="n">
        <x:f>IFERROR(AK120/AD120,0)</x:f>
        <x:v>0</x:v>
      </x:c>
      <x:c r="AM120" s="92"/>
      <x:c r="AN120" s="92"/>
      <x:c r="AO120" s="92"/>
      <x:c r="AP120" s="92"/>
      <x:c r="AQ120" s="25"/>
      <x:c r="AR120" s="25"/>
      <x:c r="AS120" s="86"/>
      <x:c r="AT120" s="86"/>
      <x:c r="AU120" s="86"/>
      <x:c r="AV120" s="90"/>
      <x:c r="AW120" s="86"/>
      <x:c r="AX120" s="88" t="str">
        <x:f>IF(B120="","",AV120*'Paramètres'!$B$4+AW120)</x:f>
      </x:c>
      <x:c r="AY120" s="25"/>
      <x:c r="AZ120" s="25"/>
      <x:c r="BA120" s="25"/>
    </x:row>
    <x:row r="121">
      <x:c r="A121" s="78" t="str">
        <x:f>IF(B121="","",ROW()-5)</x:f>
      </x:c>
      <x:c r="B121" s="80"/>
      <x:c r="C121" s="78" t="str">
        <x:f>IF(B121="","",YEAR(B121))</x:f>
      </x:c>
      <x:c r="D121" s="78" t="str">
        <x:f>IF(B121="","",CHOOSE(MONTH(B121),"Janvier","Février","Mars","Avril","Mai","Juin","Juillet","Août","Septembre","Octobre","Novembre","Décembre"))</x:f>
      </x:c>
      <x:c r="E121" s="78" t="str">
        <x:f>IF(B121="","",WEEKNUM(B121,2))</x:f>
      </x:c>
      <x:c r="F121" s="78" t="str">
        <x:f>IF(B121="","",CHOOSE(WEEKDAY(B121,2),"Lundi","Mardi","Mercredi","Jeudi","Vendredi","Samedi","Dimanche"))</x:f>
      </x:c>
      <x:c r="G121" s="82"/>
      <x:c r="H121" s="78" t="str">
        <x:f>IF(G121="","",IF(G121&lt;TIME(11,0,0),"Matin",IF(G121&lt;TIME(15,0,0),"Midi",IF(G121&lt;TIME(18,0,0),"Après-midi","Soir"))))</x:f>
      </x:c>
      <x:c r="I121" s="25"/>
      <x:c r="J121" s="25"/>
      <x:c r="K121" s="25"/>
      <x:c r="L121" s="25"/>
      <x:c r="M121" s="25"/>
      <x:c r="N121" s="25"/>
      <x:c r="O121" s="80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  <x:c r="AA121" s="25"/>
      <x:c r="AB121" s="25"/>
      <x:c r="AC121" s="92"/>
      <x:c r="AD121" s="92"/>
      <x:c r="AE121" s="92"/>
      <x:c r="AF121" s="92"/>
      <x:c r="AG121" s="92"/>
      <x:c r="AH121" s="92"/>
      <x:c r="AI121" s="92"/>
      <x:c r="AJ121" s="92"/>
      <x:c r="AK121" s="94" t="str">
        <x:f>IF(B121="","",SUM(AG121:AJ121))</x:f>
      </x:c>
      <x:c r="AL121" s="84" t="n">
        <x:f>IFERROR(AK121/AD121,0)</x:f>
        <x:v>0</x:v>
      </x:c>
      <x:c r="AM121" s="92"/>
      <x:c r="AN121" s="92"/>
      <x:c r="AO121" s="92"/>
      <x:c r="AP121" s="92"/>
      <x:c r="AQ121" s="25"/>
      <x:c r="AR121" s="25"/>
      <x:c r="AS121" s="86"/>
      <x:c r="AT121" s="86"/>
      <x:c r="AU121" s="86"/>
      <x:c r="AV121" s="90"/>
      <x:c r="AW121" s="86"/>
      <x:c r="AX121" s="88" t="str">
        <x:f>IF(B121="","",AV121*'Paramètres'!$B$4+AW121)</x:f>
      </x:c>
      <x:c r="AY121" s="25"/>
      <x:c r="AZ121" s="25"/>
      <x:c r="BA121" s="25"/>
    </x:row>
    <x:row r="122">
      <x:c r="A122" s="78" t="str">
        <x:f>IF(B122="","",ROW()-5)</x:f>
      </x:c>
      <x:c r="B122" s="80"/>
      <x:c r="C122" s="78" t="str">
        <x:f>IF(B122="","",YEAR(B122))</x:f>
      </x:c>
      <x:c r="D122" s="78" t="str">
        <x:f>IF(B122="","",CHOOSE(MONTH(B122),"Janvier","Février","Mars","Avril","Mai","Juin","Juillet","Août","Septembre","Octobre","Novembre","Décembre"))</x:f>
      </x:c>
      <x:c r="E122" s="78" t="str">
        <x:f>IF(B122="","",WEEKNUM(B122,2))</x:f>
      </x:c>
      <x:c r="F122" s="78" t="str">
        <x:f>IF(B122="","",CHOOSE(WEEKDAY(B122,2),"Lundi","Mardi","Mercredi","Jeudi","Vendredi","Samedi","Dimanche"))</x:f>
      </x:c>
      <x:c r="G122" s="82"/>
      <x:c r="H122" s="78" t="str">
        <x:f>IF(G122="","",IF(G122&lt;TIME(11,0,0),"Matin",IF(G122&lt;TIME(15,0,0),"Midi",IF(G122&lt;TIME(18,0,0),"Après-midi","Soir"))))</x:f>
      </x:c>
      <x:c r="I122" s="25"/>
      <x:c r="J122" s="25"/>
      <x:c r="K122" s="25"/>
      <x:c r="L122" s="25"/>
      <x:c r="M122" s="25"/>
      <x:c r="N122" s="25"/>
      <x:c r="O122" s="80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  <x:c r="AA122" s="25"/>
      <x:c r="AB122" s="25"/>
      <x:c r="AC122" s="92"/>
      <x:c r="AD122" s="92"/>
      <x:c r="AE122" s="92"/>
      <x:c r="AF122" s="92"/>
      <x:c r="AG122" s="92"/>
      <x:c r="AH122" s="92"/>
      <x:c r="AI122" s="92"/>
      <x:c r="AJ122" s="92"/>
      <x:c r="AK122" s="94" t="str">
        <x:f>IF(B122="","",SUM(AG122:AJ122))</x:f>
      </x:c>
      <x:c r="AL122" s="84" t="n">
        <x:f>IFERROR(AK122/AD122,0)</x:f>
        <x:v>0</x:v>
      </x:c>
      <x:c r="AM122" s="92"/>
      <x:c r="AN122" s="92"/>
      <x:c r="AO122" s="92"/>
      <x:c r="AP122" s="92"/>
      <x:c r="AQ122" s="25"/>
      <x:c r="AR122" s="25"/>
      <x:c r="AS122" s="86"/>
      <x:c r="AT122" s="86"/>
      <x:c r="AU122" s="86"/>
      <x:c r="AV122" s="90"/>
      <x:c r="AW122" s="86"/>
      <x:c r="AX122" s="88" t="str">
        <x:f>IF(B122="","",AV122*'Paramètres'!$B$4+AW122)</x:f>
      </x:c>
      <x:c r="AY122" s="25"/>
      <x:c r="AZ122" s="25"/>
      <x:c r="BA122" s="25"/>
    </x:row>
    <x:row r="123">
      <x:c r="A123" s="78" t="str">
        <x:f>IF(B123="","",ROW()-5)</x:f>
      </x:c>
      <x:c r="B123" s="80"/>
      <x:c r="C123" s="78" t="str">
        <x:f>IF(B123="","",YEAR(B123))</x:f>
      </x:c>
      <x:c r="D123" s="78" t="str">
        <x:f>IF(B123="","",CHOOSE(MONTH(B123),"Janvier","Février","Mars","Avril","Mai","Juin","Juillet","Août","Septembre","Octobre","Novembre","Décembre"))</x:f>
      </x:c>
      <x:c r="E123" s="78" t="str">
        <x:f>IF(B123="","",WEEKNUM(B123,2))</x:f>
      </x:c>
      <x:c r="F123" s="78" t="str">
        <x:f>IF(B123="","",CHOOSE(WEEKDAY(B123,2),"Lundi","Mardi","Mercredi","Jeudi","Vendredi","Samedi","Dimanche"))</x:f>
      </x:c>
      <x:c r="G123" s="82"/>
      <x:c r="H123" s="78" t="str">
        <x:f>IF(G123="","",IF(G123&lt;TIME(11,0,0),"Matin",IF(G123&lt;TIME(15,0,0),"Midi",IF(G123&lt;TIME(18,0,0),"Après-midi","Soir"))))</x:f>
      </x:c>
      <x:c r="I123" s="25"/>
      <x:c r="J123" s="25"/>
      <x:c r="K123" s="25"/>
      <x:c r="L123" s="25"/>
      <x:c r="M123" s="25"/>
      <x:c r="N123" s="25"/>
      <x:c r="O123" s="80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  <x:c r="AA123" s="25"/>
      <x:c r="AB123" s="25"/>
      <x:c r="AC123" s="92"/>
      <x:c r="AD123" s="92"/>
      <x:c r="AE123" s="92"/>
      <x:c r="AF123" s="92"/>
      <x:c r="AG123" s="92"/>
      <x:c r="AH123" s="92"/>
      <x:c r="AI123" s="92"/>
      <x:c r="AJ123" s="92"/>
      <x:c r="AK123" s="94" t="str">
        <x:f>IF(B123="","",SUM(AG123:AJ123))</x:f>
      </x:c>
      <x:c r="AL123" s="84" t="n">
        <x:f>IFERROR(AK123/AD123,0)</x:f>
        <x:v>0</x:v>
      </x:c>
      <x:c r="AM123" s="92"/>
      <x:c r="AN123" s="92"/>
      <x:c r="AO123" s="92"/>
      <x:c r="AP123" s="92"/>
      <x:c r="AQ123" s="25"/>
      <x:c r="AR123" s="25"/>
      <x:c r="AS123" s="86"/>
      <x:c r="AT123" s="86"/>
      <x:c r="AU123" s="86"/>
      <x:c r="AV123" s="90"/>
      <x:c r="AW123" s="86"/>
      <x:c r="AX123" s="88" t="str">
        <x:f>IF(B123="","",AV123*'Paramètres'!$B$4+AW123)</x:f>
      </x:c>
      <x:c r="AY123" s="25"/>
      <x:c r="AZ123" s="25"/>
      <x:c r="BA123" s="25"/>
    </x:row>
    <x:row r="124">
      <x:c r="A124" s="78" t="str">
        <x:f>IF(B124="","",ROW()-5)</x:f>
      </x:c>
      <x:c r="B124" s="80"/>
      <x:c r="C124" s="78" t="str">
        <x:f>IF(B124="","",YEAR(B124))</x:f>
      </x:c>
      <x:c r="D124" s="78" t="str">
        <x:f>IF(B124="","",CHOOSE(MONTH(B124),"Janvier","Février","Mars","Avril","Mai","Juin","Juillet","Août","Septembre","Octobre","Novembre","Décembre"))</x:f>
      </x:c>
      <x:c r="E124" s="78" t="str">
        <x:f>IF(B124="","",WEEKNUM(B124,2))</x:f>
      </x:c>
      <x:c r="F124" s="78" t="str">
        <x:f>IF(B124="","",CHOOSE(WEEKDAY(B124,2),"Lundi","Mardi","Mercredi","Jeudi","Vendredi","Samedi","Dimanche"))</x:f>
      </x:c>
      <x:c r="G124" s="82"/>
      <x:c r="H124" s="78" t="str">
        <x:f>IF(G124="","",IF(G124&lt;TIME(11,0,0),"Matin",IF(G124&lt;TIME(15,0,0),"Midi",IF(G124&lt;TIME(18,0,0),"Après-midi","Soir"))))</x:f>
      </x:c>
      <x:c r="I124" s="25"/>
      <x:c r="J124" s="25"/>
      <x:c r="K124" s="25"/>
      <x:c r="L124" s="25"/>
      <x:c r="M124" s="25"/>
      <x:c r="N124" s="25"/>
      <x:c r="O124" s="80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  <x:c r="AA124" s="25"/>
      <x:c r="AB124" s="25"/>
      <x:c r="AC124" s="92"/>
      <x:c r="AD124" s="92"/>
      <x:c r="AE124" s="92"/>
      <x:c r="AF124" s="92"/>
      <x:c r="AG124" s="92"/>
      <x:c r="AH124" s="92"/>
      <x:c r="AI124" s="92"/>
      <x:c r="AJ124" s="92"/>
      <x:c r="AK124" s="94" t="str">
        <x:f>IF(B124="","",SUM(AG124:AJ124))</x:f>
      </x:c>
      <x:c r="AL124" s="84" t="n">
        <x:f>IFERROR(AK124/AD124,0)</x:f>
        <x:v>0</x:v>
      </x:c>
      <x:c r="AM124" s="92"/>
      <x:c r="AN124" s="92"/>
      <x:c r="AO124" s="92"/>
      <x:c r="AP124" s="92"/>
      <x:c r="AQ124" s="25"/>
      <x:c r="AR124" s="25"/>
      <x:c r="AS124" s="86"/>
      <x:c r="AT124" s="86"/>
      <x:c r="AU124" s="86"/>
      <x:c r="AV124" s="90"/>
      <x:c r="AW124" s="86"/>
      <x:c r="AX124" s="88" t="str">
        <x:f>IF(B124="","",AV124*'Paramètres'!$B$4+AW124)</x:f>
      </x:c>
      <x:c r="AY124" s="25"/>
      <x:c r="AZ124" s="25"/>
      <x:c r="BA124" s="25"/>
    </x:row>
    <x:row r="125">
      <x:c r="A125" s="78" t="str">
        <x:f>IF(B125="","",ROW()-5)</x:f>
      </x:c>
      <x:c r="B125" s="80"/>
      <x:c r="C125" s="78" t="str">
        <x:f>IF(B125="","",YEAR(B125))</x:f>
      </x:c>
      <x:c r="D125" s="78" t="str">
        <x:f>IF(B125="","",CHOOSE(MONTH(B125),"Janvier","Février","Mars","Avril","Mai","Juin","Juillet","Août","Septembre","Octobre","Novembre","Décembre"))</x:f>
      </x:c>
      <x:c r="E125" s="78" t="str">
        <x:f>IF(B125="","",WEEKNUM(B125,2))</x:f>
      </x:c>
      <x:c r="F125" s="78" t="str">
        <x:f>IF(B125="","",CHOOSE(WEEKDAY(B125,2),"Lundi","Mardi","Mercredi","Jeudi","Vendredi","Samedi","Dimanche"))</x:f>
      </x:c>
      <x:c r="G125" s="82"/>
      <x:c r="H125" s="78" t="str">
        <x:f>IF(G125="","",IF(G125&lt;TIME(11,0,0),"Matin",IF(G125&lt;TIME(15,0,0),"Midi",IF(G125&lt;TIME(18,0,0),"Après-midi","Soir"))))</x:f>
      </x:c>
      <x:c r="I125" s="25"/>
      <x:c r="J125" s="25"/>
      <x:c r="K125" s="25"/>
      <x:c r="L125" s="25"/>
      <x:c r="M125" s="25"/>
      <x:c r="N125" s="25"/>
      <x:c r="O125" s="80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  <x:c r="AA125" s="25"/>
      <x:c r="AB125" s="25"/>
      <x:c r="AC125" s="92"/>
      <x:c r="AD125" s="92"/>
      <x:c r="AE125" s="92"/>
      <x:c r="AF125" s="92"/>
      <x:c r="AG125" s="92"/>
      <x:c r="AH125" s="92"/>
      <x:c r="AI125" s="92"/>
      <x:c r="AJ125" s="92"/>
      <x:c r="AK125" s="94" t="str">
        <x:f>IF(B125="","",SUM(AG125:AJ125))</x:f>
      </x:c>
      <x:c r="AL125" s="84" t="n">
        <x:f>IFERROR(AK125/AD125,0)</x:f>
        <x:v>0</x:v>
      </x:c>
      <x:c r="AM125" s="92"/>
      <x:c r="AN125" s="92"/>
      <x:c r="AO125" s="92"/>
      <x:c r="AP125" s="92"/>
      <x:c r="AQ125" s="25"/>
      <x:c r="AR125" s="25"/>
      <x:c r="AS125" s="86"/>
      <x:c r="AT125" s="86"/>
      <x:c r="AU125" s="86"/>
      <x:c r="AV125" s="90"/>
      <x:c r="AW125" s="86"/>
      <x:c r="AX125" s="88" t="str">
        <x:f>IF(B125="","",AV125*'Paramètres'!$B$4+AW125)</x:f>
      </x:c>
      <x:c r="AY125" s="25"/>
      <x:c r="AZ125" s="25"/>
      <x:c r="BA125" s="25"/>
    </x:row>
    <x:row r="126">
      <x:c r="A126" s="78" t="str">
        <x:f>IF(B126="","",ROW()-5)</x:f>
      </x:c>
      <x:c r="B126" s="80"/>
      <x:c r="C126" s="78" t="str">
        <x:f>IF(B126="","",YEAR(B126))</x:f>
      </x:c>
      <x:c r="D126" s="78" t="str">
        <x:f>IF(B126="","",CHOOSE(MONTH(B126),"Janvier","Février","Mars","Avril","Mai","Juin","Juillet","Août","Septembre","Octobre","Novembre","Décembre"))</x:f>
      </x:c>
      <x:c r="E126" s="78" t="str">
        <x:f>IF(B126="","",WEEKNUM(B126,2))</x:f>
      </x:c>
      <x:c r="F126" s="78" t="str">
        <x:f>IF(B126="","",CHOOSE(WEEKDAY(B126,2),"Lundi","Mardi","Mercredi","Jeudi","Vendredi","Samedi","Dimanche"))</x:f>
      </x:c>
      <x:c r="G126" s="82"/>
      <x:c r="H126" s="78" t="str">
        <x:f>IF(G126="","",IF(G126&lt;TIME(11,0,0),"Matin",IF(G126&lt;TIME(15,0,0),"Midi",IF(G126&lt;TIME(18,0,0),"Après-midi","Soir"))))</x:f>
      </x:c>
      <x:c r="I126" s="25"/>
      <x:c r="J126" s="25"/>
      <x:c r="K126" s="25"/>
      <x:c r="L126" s="25"/>
      <x:c r="M126" s="25"/>
      <x:c r="N126" s="25"/>
      <x:c r="O126" s="80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  <x:c r="AA126" s="25"/>
      <x:c r="AB126" s="25"/>
      <x:c r="AC126" s="92"/>
      <x:c r="AD126" s="92"/>
      <x:c r="AE126" s="92"/>
      <x:c r="AF126" s="92"/>
      <x:c r="AG126" s="92"/>
      <x:c r="AH126" s="92"/>
      <x:c r="AI126" s="92"/>
      <x:c r="AJ126" s="92"/>
      <x:c r="AK126" s="94" t="str">
        <x:f>IF(B126="","",SUM(AG126:AJ126))</x:f>
      </x:c>
      <x:c r="AL126" s="84" t="n">
        <x:f>IFERROR(AK126/AD126,0)</x:f>
        <x:v>0</x:v>
      </x:c>
      <x:c r="AM126" s="92"/>
      <x:c r="AN126" s="92"/>
      <x:c r="AO126" s="92"/>
      <x:c r="AP126" s="92"/>
      <x:c r="AQ126" s="25"/>
      <x:c r="AR126" s="25"/>
      <x:c r="AS126" s="86"/>
      <x:c r="AT126" s="86"/>
      <x:c r="AU126" s="86"/>
      <x:c r="AV126" s="90"/>
      <x:c r="AW126" s="86"/>
      <x:c r="AX126" s="88" t="str">
        <x:f>IF(B126="","",AV126*'Paramètres'!$B$4+AW126)</x:f>
      </x:c>
      <x:c r="AY126" s="25"/>
      <x:c r="AZ126" s="25"/>
      <x:c r="BA126" s="25"/>
    </x:row>
    <x:row r="127">
      <x:c r="A127" s="78" t="str">
        <x:f>IF(B127="","",ROW()-5)</x:f>
      </x:c>
      <x:c r="B127" s="80"/>
      <x:c r="C127" s="78" t="str">
        <x:f>IF(B127="","",YEAR(B127))</x:f>
      </x:c>
      <x:c r="D127" s="78" t="str">
        <x:f>IF(B127="","",CHOOSE(MONTH(B127),"Janvier","Février","Mars","Avril","Mai","Juin","Juillet","Août","Septembre","Octobre","Novembre","Décembre"))</x:f>
      </x:c>
      <x:c r="E127" s="78" t="str">
        <x:f>IF(B127="","",WEEKNUM(B127,2))</x:f>
      </x:c>
      <x:c r="F127" s="78" t="str">
        <x:f>IF(B127="","",CHOOSE(WEEKDAY(B127,2),"Lundi","Mardi","Mercredi","Jeudi","Vendredi","Samedi","Dimanche"))</x:f>
      </x:c>
      <x:c r="G127" s="82"/>
      <x:c r="H127" s="78" t="str">
        <x:f>IF(G127="","",IF(G127&lt;TIME(11,0,0),"Matin",IF(G127&lt;TIME(15,0,0),"Midi",IF(G127&lt;TIME(18,0,0),"Après-midi","Soir"))))</x:f>
      </x:c>
      <x:c r="I127" s="25"/>
      <x:c r="J127" s="25"/>
      <x:c r="K127" s="25"/>
      <x:c r="L127" s="25"/>
      <x:c r="M127" s="25"/>
      <x:c r="N127" s="25"/>
      <x:c r="O127" s="80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  <x:c r="AA127" s="25"/>
      <x:c r="AB127" s="25"/>
      <x:c r="AC127" s="92"/>
      <x:c r="AD127" s="92"/>
      <x:c r="AE127" s="92"/>
      <x:c r="AF127" s="92"/>
      <x:c r="AG127" s="92"/>
      <x:c r="AH127" s="92"/>
      <x:c r="AI127" s="92"/>
      <x:c r="AJ127" s="92"/>
      <x:c r="AK127" s="94" t="str">
        <x:f>IF(B127="","",SUM(AG127:AJ127))</x:f>
      </x:c>
      <x:c r="AL127" s="84" t="n">
        <x:f>IFERROR(AK127/AD127,0)</x:f>
        <x:v>0</x:v>
      </x:c>
      <x:c r="AM127" s="92"/>
      <x:c r="AN127" s="92"/>
      <x:c r="AO127" s="92"/>
      <x:c r="AP127" s="92"/>
      <x:c r="AQ127" s="25"/>
      <x:c r="AR127" s="25"/>
      <x:c r="AS127" s="86"/>
      <x:c r="AT127" s="86"/>
      <x:c r="AU127" s="86"/>
      <x:c r="AV127" s="90"/>
      <x:c r="AW127" s="86"/>
      <x:c r="AX127" s="88" t="str">
        <x:f>IF(B127="","",AV127*'Paramètres'!$B$4+AW127)</x:f>
      </x:c>
      <x:c r="AY127" s="25"/>
      <x:c r="AZ127" s="25"/>
      <x:c r="BA127" s="25"/>
    </x:row>
    <x:row r="128">
      <x:c r="A128" s="78" t="str">
        <x:f>IF(B128="","",ROW()-5)</x:f>
      </x:c>
      <x:c r="B128" s="80"/>
      <x:c r="C128" s="78" t="str">
        <x:f>IF(B128="","",YEAR(B128))</x:f>
      </x:c>
      <x:c r="D128" s="78" t="str">
        <x:f>IF(B128="","",CHOOSE(MONTH(B128),"Janvier","Février","Mars","Avril","Mai","Juin","Juillet","Août","Septembre","Octobre","Novembre","Décembre"))</x:f>
      </x:c>
      <x:c r="E128" s="78" t="str">
        <x:f>IF(B128="","",WEEKNUM(B128,2))</x:f>
      </x:c>
      <x:c r="F128" s="78" t="str">
        <x:f>IF(B128="","",CHOOSE(WEEKDAY(B128,2),"Lundi","Mardi","Mercredi","Jeudi","Vendredi","Samedi","Dimanche"))</x:f>
      </x:c>
      <x:c r="G128" s="82"/>
      <x:c r="H128" s="78" t="str">
        <x:f>IF(G128="","",IF(G128&lt;TIME(11,0,0),"Matin",IF(G128&lt;TIME(15,0,0),"Midi",IF(G128&lt;TIME(18,0,0),"Après-midi","Soir"))))</x:f>
      </x:c>
      <x:c r="I128" s="25"/>
      <x:c r="J128" s="25"/>
      <x:c r="K128" s="25"/>
      <x:c r="L128" s="25"/>
      <x:c r="M128" s="25"/>
      <x:c r="N128" s="25"/>
      <x:c r="O128" s="80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  <x:c r="AA128" s="25"/>
      <x:c r="AB128" s="25"/>
      <x:c r="AC128" s="92"/>
      <x:c r="AD128" s="92"/>
      <x:c r="AE128" s="92"/>
      <x:c r="AF128" s="92"/>
      <x:c r="AG128" s="92"/>
      <x:c r="AH128" s="92"/>
      <x:c r="AI128" s="92"/>
      <x:c r="AJ128" s="92"/>
      <x:c r="AK128" s="94" t="str">
        <x:f>IF(B128="","",SUM(AG128:AJ128))</x:f>
      </x:c>
      <x:c r="AL128" s="84" t="n">
        <x:f>IFERROR(AK128/AD128,0)</x:f>
        <x:v>0</x:v>
      </x:c>
      <x:c r="AM128" s="92"/>
      <x:c r="AN128" s="92"/>
      <x:c r="AO128" s="92"/>
      <x:c r="AP128" s="92"/>
      <x:c r="AQ128" s="25"/>
      <x:c r="AR128" s="25"/>
      <x:c r="AS128" s="86"/>
      <x:c r="AT128" s="86"/>
      <x:c r="AU128" s="86"/>
      <x:c r="AV128" s="90"/>
      <x:c r="AW128" s="86"/>
      <x:c r="AX128" s="88" t="str">
        <x:f>IF(B128="","",AV128*'Paramètres'!$B$4+AW128)</x:f>
      </x:c>
      <x:c r="AY128" s="25"/>
      <x:c r="AZ128" s="25"/>
      <x:c r="BA128" s="25"/>
    </x:row>
    <x:row r="129">
      <x:c r="A129" s="78" t="str">
        <x:f>IF(B129="","",ROW()-5)</x:f>
      </x:c>
      <x:c r="B129" s="80"/>
      <x:c r="C129" s="78" t="str">
        <x:f>IF(B129="","",YEAR(B129))</x:f>
      </x:c>
      <x:c r="D129" s="78" t="str">
        <x:f>IF(B129="","",CHOOSE(MONTH(B129),"Janvier","Février","Mars","Avril","Mai","Juin","Juillet","Août","Septembre","Octobre","Novembre","Décembre"))</x:f>
      </x:c>
      <x:c r="E129" s="78" t="str">
        <x:f>IF(B129="","",WEEKNUM(B129,2))</x:f>
      </x:c>
      <x:c r="F129" s="78" t="str">
        <x:f>IF(B129="","",CHOOSE(WEEKDAY(B129,2),"Lundi","Mardi","Mercredi","Jeudi","Vendredi","Samedi","Dimanche"))</x:f>
      </x:c>
      <x:c r="G129" s="82"/>
      <x:c r="H129" s="78" t="str">
        <x:f>IF(G129="","",IF(G129&lt;TIME(11,0,0),"Matin",IF(G129&lt;TIME(15,0,0),"Midi",IF(G129&lt;TIME(18,0,0),"Après-midi","Soir"))))</x:f>
      </x:c>
      <x:c r="I129" s="25"/>
      <x:c r="J129" s="25"/>
      <x:c r="K129" s="25"/>
      <x:c r="L129" s="25"/>
      <x:c r="M129" s="25"/>
      <x:c r="N129" s="25"/>
      <x:c r="O129" s="80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  <x:c r="AA129" s="25"/>
      <x:c r="AB129" s="25"/>
      <x:c r="AC129" s="92"/>
      <x:c r="AD129" s="92"/>
      <x:c r="AE129" s="92"/>
      <x:c r="AF129" s="92"/>
      <x:c r="AG129" s="92"/>
      <x:c r="AH129" s="92"/>
      <x:c r="AI129" s="92"/>
      <x:c r="AJ129" s="92"/>
      <x:c r="AK129" s="94" t="str">
        <x:f>IF(B129="","",SUM(AG129:AJ129))</x:f>
      </x:c>
      <x:c r="AL129" s="84" t="n">
        <x:f>IFERROR(AK129/AD129,0)</x:f>
        <x:v>0</x:v>
      </x:c>
      <x:c r="AM129" s="92"/>
      <x:c r="AN129" s="92"/>
      <x:c r="AO129" s="92"/>
      <x:c r="AP129" s="92"/>
      <x:c r="AQ129" s="25"/>
      <x:c r="AR129" s="25"/>
      <x:c r="AS129" s="86"/>
      <x:c r="AT129" s="86"/>
      <x:c r="AU129" s="86"/>
      <x:c r="AV129" s="90"/>
      <x:c r="AW129" s="86"/>
      <x:c r="AX129" s="88" t="str">
        <x:f>IF(B129="","",AV129*'Paramètres'!$B$4+AW129)</x:f>
      </x:c>
      <x:c r="AY129" s="25"/>
      <x:c r="AZ129" s="25"/>
      <x:c r="BA129" s="25"/>
    </x:row>
    <x:row r="130">
      <x:c r="A130" s="78" t="str">
        <x:f>IF(B130="","",ROW()-5)</x:f>
      </x:c>
      <x:c r="B130" s="80"/>
      <x:c r="C130" s="78" t="str">
        <x:f>IF(B130="","",YEAR(B130))</x:f>
      </x:c>
      <x:c r="D130" s="78" t="str">
        <x:f>IF(B130="","",CHOOSE(MONTH(B130),"Janvier","Février","Mars","Avril","Mai","Juin","Juillet","Août","Septembre","Octobre","Novembre","Décembre"))</x:f>
      </x:c>
      <x:c r="E130" s="78" t="str">
        <x:f>IF(B130="","",WEEKNUM(B130,2))</x:f>
      </x:c>
      <x:c r="F130" s="78" t="str">
        <x:f>IF(B130="","",CHOOSE(WEEKDAY(B130,2),"Lundi","Mardi","Mercredi","Jeudi","Vendredi","Samedi","Dimanche"))</x:f>
      </x:c>
      <x:c r="G130" s="82"/>
      <x:c r="H130" s="78" t="str">
        <x:f>IF(G130="","",IF(G130&lt;TIME(11,0,0),"Matin",IF(G130&lt;TIME(15,0,0),"Midi",IF(G130&lt;TIME(18,0,0),"Après-midi","Soir"))))</x:f>
      </x:c>
      <x:c r="I130" s="25"/>
      <x:c r="J130" s="25"/>
      <x:c r="K130" s="25"/>
      <x:c r="L130" s="25"/>
      <x:c r="M130" s="25"/>
      <x:c r="N130" s="25"/>
      <x:c r="O130" s="80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  <x:c r="AA130" s="25"/>
      <x:c r="AB130" s="25"/>
      <x:c r="AC130" s="92"/>
      <x:c r="AD130" s="92"/>
      <x:c r="AE130" s="92"/>
      <x:c r="AF130" s="92"/>
      <x:c r="AG130" s="92"/>
      <x:c r="AH130" s="92"/>
      <x:c r="AI130" s="92"/>
      <x:c r="AJ130" s="92"/>
      <x:c r="AK130" s="94" t="str">
        <x:f>IF(B130="","",SUM(AG130:AJ130))</x:f>
      </x:c>
      <x:c r="AL130" s="84" t="n">
        <x:f>IFERROR(AK130/AD130,0)</x:f>
        <x:v>0</x:v>
      </x:c>
      <x:c r="AM130" s="92"/>
      <x:c r="AN130" s="92"/>
      <x:c r="AO130" s="92"/>
      <x:c r="AP130" s="92"/>
      <x:c r="AQ130" s="25"/>
      <x:c r="AR130" s="25"/>
      <x:c r="AS130" s="86"/>
      <x:c r="AT130" s="86"/>
      <x:c r="AU130" s="86"/>
      <x:c r="AV130" s="90"/>
      <x:c r="AW130" s="86"/>
      <x:c r="AX130" s="88" t="str">
        <x:f>IF(B130="","",AV130*'Paramètres'!$B$4+AW130)</x:f>
      </x:c>
      <x:c r="AY130" s="25"/>
      <x:c r="AZ130" s="25"/>
      <x:c r="BA130" s="25"/>
    </x:row>
    <x:row r="131">
      <x:c r="A131" s="78" t="str">
        <x:f>IF(B131="","",ROW()-5)</x:f>
      </x:c>
      <x:c r="B131" s="80"/>
      <x:c r="C131" s="78" t="str">
        <x:f>IF(B131="","",YEAR(B131))</x:f>
      </x:c>
      <x:c r="D131" s="78" t="str">
        <x:f>IF(B131="","",CHOOSE(MONTH(B131),"Janvier","Février","Mars","Avril","Mai","Juin","Juillet","Août","Septembre","Octobre","Novembre","Décembre"))</x:f>
      </x:c>
      <x:c r="E131" s="78" t="str">
        <x:f>IF(B131="","",WEEKNUM(B131,2))</x:f>
      </x:c>
      <x:c r="F131" s="78" t="str">
        <x:f>IF(B131="","",CHOOSE(WEEKDAY(B131,2),"Lundi","Mardi","Mercredi","Jeudi","Vendredi","Samedi","Dimanche"))</x:f>
      </x:c>
      <x:c r="G131" s="82"/>
      <x:c r="H131" s="78" t="str">
        <x:f>IF(G131="","",IF(G131&lt;TIME(11,0,0),"Matin",IF(G131&lt;TIME(15,0,0),"Midi",IF(G131&lt;TIME(18,0,0),"Après-midi","Soir"))))</x:f>
      </x:c>
      <x:c r="I131" s="25"/>
      <x:c r="J131" s="25"/>
      <x:c r="K131" s="25"/>
      <x:c r="L131" s="25"/>
      <x:c r="M131" s="25"/>
      <x:c r="N131" s="25"/>
      <x:c r="O131" s="80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  <x:c r="AA131" s="25"/>
      <x:c r="AB131" s="25"/>
      <x:c r="AC131" s="92"/>
      <x:c r="AD131" s="92"/>
      <x:c r="AE131" s="92"/>
      <x:c r="AF131" s="92"/>
      <x:c r="AG131" s="92"/>
      <x:c r="AH131" s="92"/>
      <x:c r="AI131" s="92"/>
      <x:c r="AJ131" s="92"/>
      <x:c r="AK131" s="94" t="str">
        <x:f>IF(B131="","",SUM(AG131:AJ131))</x:f>
      </x:c>
      <x:c r="AL131" s="84" t="n">
        <x:f>IFERROR(AK131/AD131,0)</x:f>
        <x:v>0</x:v>
      </x:c>
      <x:c r="AM131" s="92"/>
      <x:c r="AN131" s="92"/>
      <x:c r="AO131" s="92"/>
      <x:c r="AP131" s="92"/>
      <x:c r="AQ131" s="25"/>
      <x:c r="AR131" s="25"/>
      <x:c r="AS131" s="86"/>
      <x:c r="AT131" s="86"/>
      <x:c r="AU131" s="86"/>
      <x:c r="AV131" s="90"/>
      <x:c r="AW131" s="86"/>
      <x:c r="AX131" s="88" t="str">
        <x:f>IF(B131="","",AV131*'Paramètres'!$B$4+AW131)</x:f>
      </x:c>
      <x:c r="AY131" s="25"/>
      <x:c r="AZ131" s="25"/>
      <x:c r="BA131" s="25"/>
    </x:row>
    <x:row r="132">
      <x:c r="A132" s="78" t="str">
        <x:f>IF(B132="","",ROW()-5)</x:f>
      </x:c>
      <x:c r="B132" s="80"/>
      <x:c r="C132" s="78" t="str">
        <x:f>IF(B132="","",YEAR(B132))</x:f>
      </x:c>
      <x:c r="D132" s="78" t="str">
        <x:f>IF(B132="","",CHOOSE(MONTH(B132),"Janvier","Février","Mars","Avril","Mai","Juin","Juillet","Août","Septembre","Octobre","Novembre","Décembre"))</x:f>
      </x:c>
      <x:c r="E132" s="78" t="str">
        <x:f>IF(B132="","",WEEKNUM(B132,2))</x:f>
      </x:c>
      <x:c r="F132" s="78" t="str">
        <x:f>IF(B132="","",CHOOSE(WEEKDAY(B132,2),"Lundi","Mardi","Mercredi","Jeudi","Vendredi","Samedi","Dimanche"))</x:f>
      </x:c>
      <x:c r="G132" s="82"/>
      <x:c r="H132" s="78" t="str">
        <x:f>IF(G132="","",IF(G132&lt;TIME(11,0,0),"Matin",IF(G132&lt;TIME(15,0,0),"Midi",IF(G132&lt;TIME(18,0,0),"Après-midi","Soir"))))</x:f>
      </x:c>
      <x:c r="I132" s="25"/>
      <x:c r="J132" s="25"/>
      <x:c r="K132" s="25"/>
      <x:c r="L132" s="25"/>
      <x:c r="M132" s="25"/>
      <x:c r="N132" s="25"/>
      <x:c r="O132" s="80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  <x:c r="AA132" s="25"/>
      <x:c r="AB132" s="25"/>
      <x:c r="AC132" s="92"/>
      <x:c r="AD132" s="92"/>
      <x:c r="AE132" s="92"/>
      <x:c r="AF132" s="92"/>
      <x:c r="AG132" s="92"/>
      <x:c r="AH132" s="92"/>
      <x:c r="AI132" s="92"/>
      <x:c r="AJ132" s="92"/>
      <x:c r="AK132" s="94" t="str">
        <x:f>IF(B132="","",SUM(AG132:AJ132))</x:f>
      </x:c>
      <x:c r="AL132" s="84" t="n">
        <x:f>IFERROR(AK132/AD132,0)</x:f>
        <x:v>0</x:v>
      </x:c>
      <x:c r="AM132" s="92"/>
      <x:c r="AN132" s="92"/>
      <x:c r="AO132" s="92"/>
      <x:c r="AP132" s="92"/>
      <x:c r="AQ132" s="25"/>
      <x:c r="AR132" s="25"/>
      <x:c r="AS132" s="86"/>
      <x:c r="AT132" s="86"/>
      <x:c r="AU132" s="86"/>
      <x:c r="AV132" s="90"/>
      <x:c r="AW132" s="86"/>
      <x:c r="AX132" s="88" t="str">
        <x:f>IF(B132="","",AV132*'Paramètres'!$B$4+AW132)</x:f>
      </x:c>
      <x:c r="AY132" s="25"/>
      <x:c r="AZ132" s="25"/>
      <x:c r="BA132" s="25"/>
    </x:row>
    <x:row r="133">
      <x:c r="A133" s="78" t="str">
        <x:f>IF(B133="","",ROW()-5)</x:f>
      </x:c>
      <x:c r="B133" s="80"/>
      <x:c r="C133" s="78" t="str">
        <x:f>IF(B133="","",YEAR(B133))</x:f>
      </x:c>
      <x:c r="D133" s="78" t="str">
        <x:f>IF(B133="","",CHOOSE(MONTH(B133),"Janvier","Février","Mars","Avril","Mai","Juin","Juillet","Août","Septembre","Octobre","Novembre","Décembre"))</x:f>
      </x:c>
      <x:c r="E133" s="78" t="str">
        <x:f>IF(B133="","",WEEKNUM(B133,2))</x:f>
      </x:c>
      <x:c r="F133" s="78" t="str">
        <x:f>IF(B133="","",CHOOSE(WEEKDAY(B133,2),"Lundi","Mardi","Mercredi","Jeudi","Vendredi","Samedi","Dimanche"))</x:f>
      </x:c>
      <x:c r="G133" s="82"/>
      <x:c r="H133" s="78" t="str">
        <x:f>IF(G133="","",IF(G133&lt;TIME(11,0,0),"Matin",IF(G133&lt;TIME(15,0,0),"Midi",IF(G133&lt;TIME(18,0,0),"Après-midi","Soir"))))</x:f>
      </x:c>
      <x:c r="I133" s="25"/>
      <x:c r="J133" s="25"/>
      <x:c r="K133" s="25"/>
      <x:c r="L133" s="25"/>
      <x:c r="M133" s="25"/>
      <x:c r="N133" s="25"/>
      <x:c r="O133" s="80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  <x:c r="AA133" s="25"/>
      <x:c r="AB133" s="25"/>
      <x:c r="AC133" s="92"/>
      <x:c r="AD133" s="92"/>
      <x:c r="AE133" s="92"/>
      <x:c r="AF133" s="92"/>
      <x:c r="AG133" s="92"/>
      <x:c r="AH133" s="92"/>
      <x:c r="AI133" s="92"/>
      <x:c r="AJ133" s="92"/>
      <x:c r="AK133" s="94" t="str">
        <x:f>IF(B133="","",SUM(AG133:AJ133))</x:f>
      </x:c>
      <x:c r="AL133" s="84" t="n">
        <x:f>IFERROR(AK133/AD133,0)</x:f>
        <x:v>0</x:v>
      </x:c>
      <x:c r="AM133" s="92"/>
      <x:c r="AN133" s="92"/>
      <x:c r="AO133" s="92"/>
      <x:c r="AP133" s="92"/>
      <x:c r="AQ133" s="25"/>
      <x:c r="AR133" s="25"/>
      <x:c r="AS133" s="86"/>
      <x:c r="AT133" s="86"/>
      <x:c r="AU133" s="86"/>
      <x:c r="AV133" s="90"/>
      <x:c r="AW133" s="86"/>
      <x:c r="AX133" s="88" t="str">
        <x:f>IF(B133="","",AV133*'Paramètres'!$B$4+AW133)</x:f>
      </x:c>
      <x:c r="AY133" s="25"/>
      <x:c r="AZ133" s="25"/>
      <x:c r="BA133" s="25"/>
    </x:row>
    <x:row r="134">
      <x:c r="A134" s="78" t="str">
        <x:f>IF(B134="","",ROW()-5)</x:f>
      </x:c>
      <x:c r="B134" s="80"/>
      <x:c r="C134" s="78" t="str">
        <x:f>IF(B134="","",YEAR(B134))</x:f>
      </x:c>
      <x:c r="D134" s="78" t="str">
        <x:f>IF(B134="","",CHOOSE(MONTH(B134),"Janvier","Février","Mars","Avril","Mai","Juin","Juillet","Août","Septembre","Octobre","Novembre","Décembre"))</x:f>
      </x:c>
      <x:c r="E134" s="78" t="str">
        <x:f>IF(B134="","",WEEKNUM(B134,2))</x:f>
      </x:c>
      <x:c r="F134" s="78" t="str">
        <x:f>IF(B134="","",CHOOSE(WEEKDAY(B134,2),"Lundi","Mardi","Mercredi","Jeudi","Vendredi","Samedi","Dimanche"))</x:f>
      </x:c>
      <x:c r="G134" s="82"/>
      <x:c r="H134" s="78" t="str">
        <x:f>IF(G134="","",IF(G134&lt;TIME(11,0,0),"Matin",IF(G134&lt;TIME(15,0,0),"Midi",IF(G134&lt;TIME(18,0,0),"Après-midi","Soir"))))</x:f>
      </x:c>
      <x:c r="I134" s="25"/>
      <x:c r="J134" s="25"/>
      <x:c r="K134" s="25"/>
      <x:c r="L134" s="25"/>
      <x:c r="M134" s="25"/>
      <x:c r="N134" s="25"/>
      <x:c r="O134" s="80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  <x:c r="AA134" s="25"/>
      <x:c r="AB134" s="25"/>
      <x:c r="AC134" s="92"/>
      <x:c r="AD134" s="92"/>
      <x:c r="AE134" s="92"/>
      <x:c r="AF134" s="92"/>
      <x:c r="AG134" s="92"/>
      <x:c r="AH134" s="92"/>
      <x:c r="AI134" s="92"/>
      <x:c r="AJ134" s="92"/>
      <x:c r="AK134" s="94" t="str">
        <x:f>IF(B134="","",SUM(AG134:AJ134))</x:f>
      </x:c>
      <x:c r="AL134" s="84" t="n">
        <x:f>IFERROR(AK134/AD134,0)</x:f>
        <x:v>0</x:v>
      </x:c>
      <x:c r="AM134" s="92"/>
      <x:c r="AN134" s="92"/>
      <x:c r="AO134" s="92"/>
      <x:c r="AP134" s="92"/>
      <x:c r="AQ134" s="25"/>
      <x:c r="AR134" s="25"/>
      <x:c r="AS134" s="86"/>
      <x:c r="AT134" s="86"/>
      <x:c r="AU134" s="86"/>
      <x:c r="AV134" s="90"/>
      <x:c r="AW134" s="86"/>
      <x:c r="AX134" s="88" t="str">
        <x:f>IF(B134="","",AV134*'Paramètres'!$B$4+AW134)</x:f>
      </x:c>
      <x:c r="AY134" s="25"/>
      <x:c r="AZ134" s="25"/>
      <x:c r="BA134" s="25"/>
    </x:row>
    <x:row r="135">
      <x:c r="A135" s="78" t="str">
        <x:f>IF(B135="","",ROW()-5)</x:f>
      </x:c>
      <x:c r="B135" s="80"/>
      <x:c r="C135" s="78" t="str">
        <x:f>IF(B135="","",YEAR(B135))</x:f>
      </x:c>
      <x:c r="D135" s="78" t="str">
        <x:f>IF(B135="","",CHOOSE(MONTH(B135),"Janvier","Février","Mars","Avril","Mai","Juin","Juillet","Août","Septembre","Octobre","Novembre","Décembre"))</x:f>
      </x:c>
      <x:c r="E135" s="78" t="str">
        <x:f>IF(B135="","",WEEKNUM(B135,2))</x:f>
      </x:c>
      <x:c r="F135" s="78" t="str">
        <x:f>IF(B135="","",CHOOSE(WEEKDAY(B135,2),"Lundi","Mardi","Mercredi","Jeudi","Vendredi","Samedi","Dimanche"))</x:f>
      </x:c>
      <x:c r="G135" s="82"/>
      <x:c r="H135" s="78" t="str">
        <x:f>IF(G135="","",IF(G135&lt;TIME(11,0,0),"Matin",IF(G135&lt;TIME(15,0,0),"Midi",IF(G135&lt;TIME(18,0,0),"Après-midi","Soir"))))</x:f>
      </x:c>
      <x:c r="I135" s="25"/>
      <x:c r="J135" s="25"/>
      <x:c r="K135" s="25"/>
      <x:c r="L135" s="25"/>
      <x:c r="M135" s="25"/>
      <x:c r="N135" s="25"/>
      <x:c r="O135" s="80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  <x:c r="AA135" s="25"/>
      <x:c r="AB135" s="25"/>
      <x:c r="AC135" s="92"/>
      <x:c r="AD135" s="92"/>
      <x:c r="AE135" s="92"/>
      <x:c r="AF135" s="92"/>
      <x:c r="AG135" s="92"/>
      <x:c r="AH135" s="92"/>
      <x:c r="AI135" s="92"/>
      <x:c r="AJ135" s="92"/>
      <x:c r="AK135" s="94" t="str">
        <x:f>IF(B135="","",SUM(AG135:AJ135))</x:f>
      </x:c>
      <x:c r="AL135" s="84" t="n">
        <x:f>IFERROR(AK135/AD135,0)</x:f>
        <x:v>0</x:v>
      </x:c>
      <x:c r="AM135" s="92"/>
      <x:c r="AN135" s="92"/>
      <x:c r="AO135" s="92"/>
      <x:c r="AP135" s="92"/>
      <x:c r="AQ135" s="25"/>
      <x:c r="AR135" s="25"/>
      <x:c r="AS135" s="86"/>
      <x:c r="AT135" s="86"/>
      <x:c r="AU135" s="86"/>
      <x:c r="AV135" s="90"/>
      <x:c r="AW135" s="86"/>
      <x:c r="AX135" s="88" t="str">
        <x:f>IF(B135="","",AV135*'Paramètres'!$B$4+AW135)</x:f>
      </x:c>
      <x:c r="AY135" s="25"/>
      <x:c r="AZ135" s="25"/>
      <x:c r="BA135" s="25"/>
    </x:row>
    <x:row r="136">
      <x:c r="A136" s="78" t="str">
        <x:f>IF(B136="","",ROW()-5)</x:f>
      </x:c>
      <x:c r="B136" s="80"/>
      <x:c r="C136" s="78" t="str">
        <x:f>IF(B136="","",YEAR(B136))</x:f>
      </x:c>
      <x:c r="D136" s="78" t="str">
        <x:f>IF(B136="","",CHOOSE(MONTH(B136),"Janvier","Février","Mars","Avril","Mai","Juin","Juillet","Août","Septembre","Octobre","Novembre","Décembre"))</x:f>
      </x:c>
      <x:c r="E136" s="78" t="str">
        <x:f>IF(B136="","",WEEKNUM(B136,2))</x:f>
      </x:c>
      <x:c r="F136" s="78" t="str">
        <x:f>IF(B136="","",CHOOSE(WEEKDAY(B136,2),"Lundi","Mardi","Mercredi","Jeudi","Vendredi","Samedi","Dimanche"))</x:f>
      </x:c>
      <x:c r="G136" s="82"/>
      <x:c r="H136" s="78" t="str">
        <x:f>IF(G136="","",IF(G136&lt;TIME(11,0,0),"Matin",IF(G136&lt;TIME(15,0,0),"Midi",IF(G136&lt;TIME(18,0,0),"Après-midi","Soir"))))</x:f>
      </x:c>
      <x:c r="I136" s="25"/>
      <x:c r="J136" s="25"/>
      <x:c r="K136" s="25"/>
      <x:c r="L136" s="25"/>
      <x:c r="M136" s="25"/>
      <x:c r="N136" s="25"/>
      <x:c r="O136" s="80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  <x:c r="AA136" s="25"/>
      <x:c r="AB136" s="25"/>
      <x:c r="AC136" s="92"/>
      <x:c r="AD136" s="92"/>
      <x:c r="AE136" s="92"/>
      <x:c r="AF136" s="92"/>
      <x:c r="AG136" s="92"/>
      <x:c r="AH136" s="92"/>
      <x:c r="AI136" s="92"/>
      <x:c r="AJ136" s="92"/>
      <x:c r="AK136" s="94" t="str">
        <x:f>IF(B136="","",SUM(AG136:AJ136))</x:f>
      </x:c>
      <x:c r="AL136" s="84" t="n">
        <x:f>IFERROR(AK136/AD136,0)</x:f>
        <x:v>0</x:v>
      </x:c>
      <x:c r="AM136" s="92"/>
      <x:c r="AN136" s="92"/>
      <x:c r="AO136" s="92"/>
      <x:c r="AP136" s="92"/>
      <x:c r="AQ136" s="25"/>
      <x:c r="AR136" s="25"/>
      <x:c r="AS136" s="86"/>
      <x:c r="AT136" s="86"/>
      <x:c r="AU136" s="86"/>
      <x:c r="AV136" s="90"/>
      <x:c r="AW136" s="86"/>
      <x:c r="AX136" s="88" t="str">
        <x:f>IF(B136="","",AV136*'Paramètres'!$B$4+AW136)</x:f>
      </x:c>
      <x:c r="AY136" s="25"/>
      <x:c r="AZ136" s="25"/>
      <x:c r="BA136" s="25"/>
    </x:row>
    <x:row r="137">
      <x:c r="A137" s="78" t="str">
        <x:f>IF(B137="","",ROW()-5)</x:f>
      </x:c>
      <x:c r="B137" s="80"/>
      <x:c r="C137" s="78" t="str">
        <x:f>IF(B137="","",YEAR(B137))</x:f>
      </x:c>
      <x:c r="D137" s="78" t="str">
        <x:f>IF(B137="","",CHOOSE(MONTH(B137),"Janvier","Février","Mars","Avril","Mai","Juin","Juillet","Août","Septembre","Octobre","Novembre","Décembre"))</x:f>
      </x:c>
      <x:c r="E137" s="78" t="str">
        <x:f>IF(B137="","",WEEKNUM(B137,2))</x:f>
      </x:c>
      <x:c r="F137" s="78" t="str">
        <x:f>IF(B137="","",CHOOSE(WEEKDAY(B137,2),"Lundi","Mardi","Mercredi","Jeudi","Vendredi","Samedi","Dimanche"))</x:f>
      </x:c>
      <x:c r="G137" s="82"/>
      <x:c r="H137" s="78" t="str">
        <x:f>IF(G137="","",IF(G137&lt;TIME(11,0,0),"Matin",IF(G137&lt;TIME(15,0,0),"Midi",IF(G137&lt;TIME(18,0,0),"Après-midi","Soir"))))</x:f>
      </x:c>
      <x:c r="I137" s="25"/>
      <x:c r="J137" s="25"/>
      <x:c r="K137" s="25"/>
      <x:c r="L137" s="25"/>
      <x:c r="M137" s="25"/>
      <x:c r="N137" s="25"/>
      <x:c r="O137" s="80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  <x:c r="AA137" s="25"/>
      <x:c r="AB137" s="25"/>
      <x:c r="AC137" s="92"/>
      <x:c r="AD137" s="92"/>
      <x:c r="AE137" s="92"/>
      <x:c r="AF137" s="92"/>
      <x:c r="AG137" s="92"/>
      <x:c r="AH137" s="92"/>
      <x:c r="AI137" s="92"/>
      <x:c r="AJ137" s="92"/>
      <x:c r="AK137" s="94" t="str">
        <x:f>IF(B137="","",SUM(AG137:AJ137))</x:f>
      </x:c>
      <x:c r="AL137" s="84" t="n">
        <x:f>IFERROR(AK137/AD137,0)</x:f>
        <x:v>0</x:v>
      </x:c>
      <x:c r="AM137" s="92"/>
      <x:c r="AN137" s="92"/>
      <x:c r="AO137" s="92"/>
      <x:c r="AP137" s="92"/>
      <x:c r="AQ137" s="25"/>
      <x:c r="AR137" s="25"/>
      <x:c r="AS137" s="86"/>
      <x:c r="AT137" s="86"/>
      <x:c r="AU137" s="86"/>
      <x:c r="AV137" s="90"/>
      <x:c r="AW137" s="86"/>
      <x:c r="AX137" s="88" t="str">
        <x:f>IF(B137="","",AV137*'Paramètres'!$B$4+AW137)</x:f>
      </x:c>
      <x:c r="AY137" s="25"/>
      <x:c r="AZ137" s="25"/>
      <x:c r="BA137" s="25"/>
    </x:row>
    <x:row r="138">
      <x:c r="A138" s="78" t="str">
        <x:f>IF(B138="","",ROW()-5)</x:f>
      </x:c>
      <x:c r="B138" s="80"/>
      <x:c r="C138" s="78" t="str">
        <x:f>IF(B138="","",YEAR(B138))</x:f>
      </x:c>
      <x:c r="D138" s="78" t="str">
        <x:f>IF(B138="","",CHOOSE(MONTH(B138),"Janvier","Février","Mars","Avril","Mai","Juin","Juillet","Août","Septembre","Octobre","Novembre","Décembre"))</x:f>
      </x:c>
      <x:c r="E138" s="78" t="str">
        <x:f>IF(B138="","",WEEKNUM(B138,2))</x:f>
      </x:c>
      <x:c r="F138" s="78" t="str">
        <x:f>IF(B138="","",CHOOSE(WEEKDAY(B138,2),"Lundi","Mardi","Mercredi","Jeudi","Vendredi","Samedi","Dimanche"))</x:f>
      </x:c>
      <x:c r="G138" s="82"/>
      <x:c r="H138" s="78" t="str">
        <x:f>IF(G138="","",IF(G138&lt;TIME(11,0,0),"Matin",IF(G138&lt;TIME(15,0,0),"Midi",IF(G138&lt;TIME(18,0,0),"Après-midi","Soir"))))</x:f>
      </x:c>
      <x:c r="I138" s="25"/>
      <x:c r="J138" s="25"/>
      <x:c r="K138" s="25"/>
      <x:c r="L138" s="25"/>
      <x:c r="M138" s="25"/>
      <x:c r="N138" s="25"/>
      <x:c r="O138" s="80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  <x:c r="AA138" s="25"/>
      <x:c r="AB138" s="25"/>
      <x:c r="AC138" s="92"/>
      <x:c r="AD138" s="92"/>
      <x:c r="AE138" s="92"/>
      <x:c r="AF138" s="92"/>
      <x:c r="AG138" s="92"/>
      <x:c r="AH138" s="92"/>
      <x:c r="AI138" s="92"/>
      <x:c r="AJ138" s="92"/>
      <x:c r="AK138" s="94" t="str">
        <x:f>IF(B138="","",SUM(AG138:AJ138))</x:f>
      </x:c>
      <x:c r="AL138" s="84" t="n">
        <x:f>IFERROR(AK138/AD138,0)</x:f>
        <x:v>0</x:v>
      </x:c>
      <x:c r="AM138" s="92"/>
      <x:c r="AN138" s="92"/>
      <x:c r="AO138" s="92"/>
      <x:c r="AP138" s="92"/>
      <x:c r="AQ138" s="25"/>
      <x:c r="AR138" s="25"/>
      <x:c r="AS138" s="86"/>
      <x:c r="AT138" s="86"/>
      <x:c r="AU138" s="86"/>
      <x:c r="AV138" s="90"/>
      <x:c r="AW138" s="86"/>
      <x:c r="AX138" s="88" t="str">
        <x:f>IF(B138="","",AV138*'Paramètres'!$B$4+AW138)</x:f>
      </x:c>
      <x:c r="AY138" s="25"/>
      <x:c r="AZ138" s="25"/>
      <x:c r="BA138" s="25"/>
    </x:row>
    <x:row r="139">
      <x:c r="A139" s="78" t="str">
        <x:f>IF(B139="","",ROW()-5)</x:f>
      </x:c>
      <x:c r="B139" s="80"/>
      <x:c r="C139" s="78" t="str">
        <x:f>IF(B139="","",YEAR(B139))</x:f>
      </x:c>
      <x:c r="D139" s="78" t="str">
        <x:f>IF(B139="","",CHOOSE(MONTH(B139),"Janvier","Février","Mars","Avril","Mai","Juin","Juillet","Août","Septembre","Octobre","Novembre","Décembre"))</x:f>
      </x:c>
      <x:c r="E139" s="78" t="str">
        <x:f>IF(B139="","",WEEKNUM(B139,2))</x:f>
      </x:c>
      <x:c r="F139" s="78" t="str">
        <x:f>IF(B139="","",CHOOSE(WEEKDAY(B139,2),"Lundi","Mardi","Mercredi","Jeudi","Vendredi","Samedi","Dimanche"))</x:f>
      </x:c>
      <x:c r="G139" s="82"/>
      <x:c r="H139" s="78" t="str">
        <x:f>IF(G139="","",IF(G139&lt;TIME(11,0,0),"Matin",IF(G139&lt;TIME(15,0,0),"Midi",IF(G139&lt;TIME(18,0,0),"Après-midi","Soir"))))</x:f>
      </x:c>
      <x:c r="I139" s="25"/>
      <x:c r="J139" s="25"/>
      <x:c r="K139" s="25"/>
      <x:c r="L139" s="25"/>
      <x:c r="M139" s="25"/>
      <x:c r="N139" s="25"/>
      <x:c r="O139" s="80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  <x:c r="AA139" s="25"/>
      <x:c r="AB139" s="25"/>
      <x:c r="AC139" s="92"/>
      <x:c r="AD139" s="92"/>
      <x:c r="AE139" s="92"/>
      <x:c r="AF139" s="92"/>
      <x:c r="AG139" s="92"/>
      <x:c r="AH139" s="92"/>
      <x:c r="AI139" s="92"/>
      <x:c r="AJ139" s="92"/>
      <x:c r="AK139" s="94" t="str">
        <x:f>IF(B139="","",SUM(AG139:AJ139))</x:f>
      </x:c>
      <x:c r="AL139" s="84" t="n">
        <x:f>IFERROR(AK139/AD139,0)</x:f>
        <x:v>0</x:v>
      </x:c>
      <x:c r="AM139" s="92"/>
      <x:c r="AN139" s="92"/>
      <x:c r="AO139" s="92"/>
      <x:c r="AP139" s="92"/>
      <x:c r="AQ139" s="25"/>
      <x:c r="AR139" s="25"/>
      <x:c r="AS139" s="86"/>
      <x:c r="AT139" s="86"/>
      <x:c r="AU139" s="86"/>
      <x:c r="AV139" s="90"/>
      <x:c r="AW139" s="86"/>
      <x:c r="AX139" s="88" t="str">
        <x:f>IF(B139="","",AV139*'Paramètres'!$B$4+AW139)</x:f>
      </x:c>
      <x:c r="AY139" s="25"/>
      <x:c r="AZ139" s="25"/>
      <x:c r="BA139" s="25"/>
    </x:row>
    <x:row r="140">
      <x:c r="A140" s="78" t="str">
        <x:f>IF(B140="","",ROW()-5)</x:f>
      </x:c>
      <x:c r="B140" s="80"/>
      <x:c r="C140" s="78" t="str">
        <x:f>IF(B140="","",YEAR(B140))</x:f>
      </x:c>
      <x:c r="D140" s="78" t="str">
        <x:f>IF(B140="","",CHOOSE(MONTH(B140),"Janvier","Février","Mars","Avril","Mai","Juin","Juillet","Août","Septembre","Octobre","Novembre","Décembre"))</x:f>
      </x:c>
      <x:c r="E140" s="78" t="str">
        <x:f>IF(B140="","",WEEKNUM(B140,2))</x:f>
      </x:c>
      <x:c r="F140" s="78" t="str">
        <x:f>IF(B140="","",CHOOSE(WEEKDAY(B140,2),"Lundi","Mardi","Mercredi","Jeudi","Vendredi","Samedi","Dimanche"))</x:f>
      </x:c>
      <x:c r="G140" s="82"/>
      <x:c r="H140" s="78" t="str">
        <x:f>IF(G140="","",IF(G140&lt;TIME(11,0,0),"Matin",IF(G140&lt;TIME(15,0,0),"Midi",IF(G140&lt;TIME(18,0,0),"Après-midi","Soir"))))</x:f>
      </x:c>
      <x:c r="I140" s="25"/>
      <x:c r="J140" s="25"/>
      <x:c r="K140" s="25"/>
      <x:c r="L140" s="25"/>
      <x:c r="M140" s="25"/>
      <x:c r="N140" s="25"/>
      <x:c r="O140" s="80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  <x:c r="AA140" s="25"/>
      <x:c r="AB140" s="25"/>
      <x:c r="AC140" s="92"/>
      <x:c r="AD140" s="92"/>
      <x:c r="AE140" s="92"/>
      <x:c r="AF140" s="92"/>
      <x:c r="AG140" s="92"/>
      <x:c r="AH140" s="92"/>
      <x:c r="AI140" s="92"/>
      <x:c r="AJ140" s="92"/>
      <x:c r="AK140" s="94" t="str">
        <x:f>IF(B140="","",SUM(AG140:AJ140))</x:f>
      </x:c>
      <x:c r="AL140" s="84" t="n">
        <x:f>IFERROR(AK140/AD140,0)</x:f>
        <x:v>0</x:v>
      </x:c>
      <x:c r="AM140" s="92"/>
      <x:c r="AN140" s="92"/>
      <x:c r="AO140" s="92"/>
      <x:c r="AP140" s="92"/>
      <x:c r="AQ140" s="25"/>
      <x:c r="AR140" s="25"/>
      <x:c r="AS140" s="86"/>
      <x:c r="AT140" s="86"/>
      <x:c r="AU140" s="86"/>
      <x:c r="AV140" s="90"/>
      <x:c r="AW140" s="86"/>
      <x:c r="AX140" s="88" t="str">
        <x:f>IF(B140="","",AV140*'Paramètres'!$B$4+AW140)</x:f>
      </x:c>
      <x:c r="AY140" s="25"/>
      <x:c r="AZ140" s="25"/>
      <x:c r="BA140" s="25"/>
    </x:row>
    <x:row r="141">
      <x:c r="A141" s="78" t="str">
        <x:f>IF(B141="","",ROW()-5)</x:f>
      </x:c>
      <x:c r="B141" s="80"/>
      <x:c r="C141" s="78" t="str">
        <x:f>IF(B141="","",YEAR(B141))</x:f>
      </x:c>
      <x:c r="D141" s="78" t="str">
        <x:f>IF(B141="","",CHOOSE(MONTH(B141),"Janvier","Février","Mars","Avril","Mai","Juin","Juillet","Août","Septembre","Octobre","Novembre","Décembre"))</x:f>
      </x:c>
      <x:c r="E141" s="78" t="str">
        <x:f>IF(B141="","",WEEKNUM(B141,2))</x:f>
      </x:c>
      <x:c r="F141" s="78" t="str">
        <x:f>IF(B141="","",CHOOSE(WEEKDAY(B141,2),"Lundi","Mardi","Mercredi","Jeudi","Vendredi","Samedi","Dimanche"))</x:f>
      </x:c>
      <x:c r="G141" s="82"/>
      <x:c r="H141" s="78" t="str">
        <x:f>IF(G141="","",IF(G141&lt;TIME(11,0,0),"Matin",IF(G141&lt;TIME(15,0,0),"Midi",IF(G141&lt;TIME(18,0,0),"Après-midi","Soir"))))</x:f>
      </x:c>
      <x:c r="I141" s="25"/>
      <x:c r="J141" s="25"/>
      <x:c r="K141" s="25"/>
      <x:c r="L141" s="25"/>
      <x:c r="M141" s="25"/>
      <x:c r="N141" s="25"/>
      <x:c r="O141" s="80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  <x:c r="AA141" s="25"/>
      <x:c r="AB141" s="25"/>
      <x:c r="AC141" s="92"/>
      <x:c r="AD141" s="92"/>
      <x:c r="AE141" s="92"/>
      <x:c r="AF141" s="92"/>
      <x:c r="AG141" s="92"/>
      <x:c r="AH141" s="92"/>
      <x:c r="AI141" s="92"/>
      <x:c r="AJ141" s="92"/>
      <x:c r="AK141" s="94" t="str">
        <x:f>IF(B141="","",SUM(AG141:AJ141))</x:f>
      </x:c>
      <x:c r="AL141" s="84" t="n">
        <x:f>IFERROR(AK141/AD141,0)</x:f>
        <x:v>0</x:v>
      </x:c>
      <x:c r="AM141" s="92"/>
      <x:c r="AN141" s="92"/>
      <x:c r="AO141" s="92"/>
      <x:c r="AP141" s="92"/>
      <x:c r="AQ141" s="25"/>
      <x:c r="AR141" s="25"/>
      <x:c r="AS141" s="86"/>
      <x:c r="AT141" s="86"/>
      <x:c r="AU141" s="86"/>
      <x:c r="AV141" s="90"/>
      <x:c r="AW141" s="86"/>
      <x:c r="AX141" s="88" t="str">
        <x:f>IF(B141="","",AV141*'Paramètres'!$B$4+AW141)</x:f>
      </x:c>
      <x:c r="AY141" s="25"/>
      <x:c r="AZ141" s="25"/>
      <x:c r="BA141" s="25"/>
    </x:row>
    <x:row r="142">
      <x:c r="A142" s="78" t="str">
        <x:f>IF(B142="","",ROW()-5)</x:f>
      </x:c>
      <x:c r="B142" s="80"/>
      <x:c r="C142" s="78" t="str">
        <x:f>IF(B142="","",YEAR(B142))</x:f>
      </x:c>
      <x:c r="D142" s="78" t="str">
        <x:f>IF(B142="","",CHOOSE(MONTH(B142),"Janvier","Février","Mars","Avril","Mai","Juin","Juillet","Août","Septembre","Octobre","Novembre","Décembre"))</x:f>
      </x:c>
      <x:c r="E142" s="78" t="str">
        <x:f>IF(B142="","",WEEKNUM(B142,2))</x:f>
      </x:c>
      <x:c r="F142" s="78" t="str">
        <x:f>IF(B142="","",CHOOSE(WEEKDAY(B142,2),"Lundi","Mardi","Mercredi","Jeudi","Vendredi","Samedi","Dimanche"))</x:f>
      </x:c>
      <x:c r="G142" s="82"/>
      <x:c r="H142" s="78" t="str">
        <x:f>IF(G142="","",IF(G142&lt;TIME(11,0,0),"Matin",IF(G142&lt;TIME(15,0,0),"Midi",IF(G142&lt;TIME(18,0,0),"Après-midi","Soir"))))</x:f>
      </x:c>
      <x:c r="I142" s="25"/>
      <x:c r="J142" s="25"/>
      <x:c r="K142" s="25"/>
      <x:c r="L142" s="25"/>
      <x:c r="M142" s="25"/>
      <x:c r="N142" s="25"/>
      <x:c r="O142" s="80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  <x:c r="AA142" s="25"/>
      <x:c r="AB142" s="25"/>
      <x:c r="AC142" s="92"/>
      <x:c r="AD142" s="92"/>
      <x:c r="AE142" s="92"/>
      <x:c r="AF142" s="92"/>
      <x:c r="AG142" s="92"/>
      <x:c r="AH142" s="92"/>
      <x:c r="AI142" s="92"/>
      <x:c r="AJ142" s="92"/>
      <x:c r="AK142" s="94" t="str">
        <x:f>IF(B142="","",SUM(AG142:AJ142))</x:f>
      </x:c>
      <x:c r="AL142" s="84" t="n">
        <x:f>IFERROR(AK142/AD142,0)</x:f>
        <x:v>0</x:v>
      </x:c>
      <x:c r="AM142" s="92"/>
      <x:c r="AN142" s="92"/>
      <x:c r="AO142" s="92"/>
      <x:c r="AP142" s="92"/>
      <x:c r="AQ142" s="25"/>
      <x:c r="AR142" s="25"/>
      <x:c r="AS142" s="86"/>
      <x:c r="AT142" s="86"/>
      <x:c r="AU142" s="86"/>
      <x:c r="AV142" s="90"/>
      <x:c r="AW142" s="86"/>
      <x:c r="AX142" s="88" t="str">
        <x:f>IF(B142="","",AV142*'Paramètres'!$B$4+AW142)</x:f>
      </x:c>
      <x:c r="AY142" s="25"/>
      <x:c r="AZ142" s="25"/>
      <x:c r="BA142" s="25"/>
    </x:row>
    <x:row r="143">
      <x:c r="A143" s="78" t="str">
        <x:f>IF(B143="","",ROW()-5)</x:f>
      </x:c>
      <x:c r="B143" s="80"/>
      <x:c r="C143" s="78" t="str">
        <x:f>IF(B143="","",YEAR(B143))</x:f>
      </x:c>
      <x:c r="D143" s="78" t="str">
        <x:f>IF(B143="","",CHOOSE(MONTH(B143),"Janvier","Février","Mars","Avril","Mai","Juin","Juillet","Août","Septembre","Octobre","Novembre","Décembre"))</x:f>
      </x:c>
      <x:c r="E143" s="78" t="str">
        <x:f>IF(B143="","",WEEKNUM(B143,2))</x:f>
      </x:c>
      <x:c r="F143" s="78" t="str">
        <x:f>IF(B143="","",CHOOSE(WEEKDAY(B143,2),"Lundi","Mardi","Mercredi","Jeudi","Vendredi","Samedi","Dimanche"))</x:f>
      </x:c>
      <x:c r="G143" s="82"/>
      <x:c r="H143" s="78" t="str">
        <x:f>IF(G143="","",IF(G143&lt;TIME(11,0,0),"Matin",IF(G143&lt;TIME(15,0,0),"Midi",IF(G143&lt;TIME(18,0,0),"Après-midi","Soir"))))</x:f>
      </x:c>
      <x:c r="I143" s="25"/>
      <x:c r="J143" s="25"/>
      <x:c r="K143" s="25"/>
      <x:c r="L143" s="25"/>
      <x:c r="M143" s="25"/>
      <x:c r="N143" s="25"/>
      <x:c r="O143" s="80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  <x:c r="AA143" s="25"/>
      <x:c r="AB143" s="25"/>
      <x:c r="AC143" s="92"/>
      <x:c r="AD143" s="92"/>
      <x:c r="AE143" s="92"/>
      <x:c r="AF143" s="92"/>
      <x:c r="AG143" s="92"/>
      <x:c r="AH143" s="92"/>
      <x:c r="AI143" s="92"/>
      <x:c r="AJ143" s="92"/>
      <x:c r="AK143" s="94" t="str">
        <x:f>IF(B143="","",SUM(AG143:AJ143))</x:f>
      </x:c>
      <x:c r="AL143" s="84" t="n">
        <x:f>IFERROR(AK143/AD143,0)</x:f>
        <x:v>0</x:v>
      </x:c>
      <x:c r="AM143" s="92"/>
      <x:c r="AN143" s="92"/>
      <x:c r="AO143" s="92"/>
      <x:c r="AP143" s="92"/>
      <x:c r="AQ143" s="25"/>
      <x:c r="AR143" s="25"/>
      <x:c r="AS143" s="86"/>
      <x:c r="AT143" s="86"/>
      <x:c r="AU143" s="86"/>
      <x:c r="AV143" s="90"/>
      <x:c r="AW143" s="86"/>
      <x:c r="AX143" s="88" t="str">
        <x:f>IF(B143="","",AV143*'Paramètres'!$B$4+AW143)</x:f>
      </x:c>
      <x:c r="AY143" s="25"/>
      <x:c r="AZ143" s="25"/>
      <x:c r="BA143" s="25"/>
    </x:row>
    <x:row r="144">
      <x:c r="A144" s="78" t="str">
        <x:f>IF(B144="","",ROW()-5)</x:f>
      </x:c>
      <x:c r="B144" s="80"/>
      <x:c r="C144" s="78" t="str">
        <x:f>IF(B144="","",YEAR(B144))</x:f>
      </x:c>
      <x:c r="D144" s="78" t="str">
        <x:f>IF(B144="","",CHOOSE(MONTH(B144),"Janvier","Février","Mars","Avril","Mai","Juin","Juillet","Août","Septembre","Octobre","Novembre","Décembre"))</x:f>
      </x:c>
      <x:c r="E144" s="78" t="str">
        <x:f>IF(B144="","",WEEKNUM(B144,2))</x:f>
      </x:c>
      <x:c r="F144" s="78" t="str">
        <x:f>IF(B144="","",CHOOSE(WEEKDAY(B144,2),"Lundi","Mardi","Mercredi","Jeudi","Vendredi","Samedi","Dimanche"))</x:f>
      </x:c>
      <x:c r="G144" s="82"/>
      <x:c r="H144" s="78" t="str">
        <x:f>IF(G144="","",IF(G144&lt;TIME(11,0,0),"Matin",IF(G144&lt;TIME(15,0,0),"Midi",IF(G144&lt;TIME(18,0,0),"Après-midi","Soir"))))</x:f>
      </x:c>
      <x:c r="I144" s="25"/>
      <x:c r="J144" s="25"/>
      <x:c r="K144" s="25"/>
      <x:c r="L144" s="25"/>
      <x:c r="M144" s="25"/>
      <x:c r="N144" s="25"/>
      <x:c r="O144" s="80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  <x:c r="AA144" s="25"/>
      <x:c r="AB144" s="25"/>
      <x:c r="AC144" s="92"/>
      <x:c r="AD144" s="92"/>
      <x:c r="AE144" s="92"/>
      <x:c r="AF144" s="92"/>
      <x:c r="AG144" s="92"/>
      <x:c r="AH144" s="92"/>
      <x:c r="AI144" s="92"/>
      <x:c r="AJ144" s="92"/>
      <x:c r="AK144" s="94" t="str">
        <x:f>IF(B144="","",SUM(AG144:AJ144))</x:f>
      </x:c>
      <x:c r="AL144" s="84" t="n">
        <x:f>IFERROR(AK144/AD144,0)</x:f>
        <x:v>0</x:v>
      </x:c>
      <x:c r="AM144" s="92"/>
      <x:c r="AN144" s="92"/>
      <x:c r="AO144" s="92"/>
      <x:c r="AP144" s="92"/>
      <x:c r="AQ144" s="25"/>
      <x:c r="AR144" s="25"/>
      <x:c r="AS144" s="86"/>
      <x:c r="AT144" s="86"/>
      <x:c r="AU144" s="86"/>
      <x:c r="AV144" s="90"/>
      <x:c r="AW144" s="86"/>
      <x:c r="AX144" s="88" t="str">
        <x:f>IF(B144="","",AV144*'Paramètres'!$B$4+AW144)</x:f>
      </x:c>
      <x:c r="AY144" s="25"/>
      <x:c r="AZ144" s="25"/>
      <x:c r="BA144" s="25"/>
    </x:row>
    <x:row r="145">
      <x:c r="A145" s="78" t="str">
        <x:f>IF(B145="","",ROW()-5)</x:f>
      </x:c>
      <x:c r="B145" s="80"/>
      <x:c r="C145" s="78" t="str">
        <x:f>IF(B145="","",YEAR(B145))</x:f>
      </x:c>
      <x:c r="D145" s="78" t="str">
        <x:f>IF(B145="","",CHOOSE(MONTH(B145),"Janvier","Février","Mars","Avril","Mai","Juin","Juillet","Août","Septembre","Octobre","Novembre","Décembre"))</x:f>
      </x:c>
      <x:c r="E145" s="78" t="str">
        <x:f>IF(B145="","",WEEKNUM(B145,2))</x:f>
      </x:c>
      <x:c r="F145" s="78" t="str">
        <x:f>IF(B145="","",CHOOSE(WEEKDAY(B145,2),"Lundi","Mardi","Mercredi","Jeudi","Vendredi","Samedi","Dimanche"))</x:f>
      </x:c>
      <x:c r="G145" s="82"/>
      <x:c r="H145" s="78" t="str">
        <x:f>IF(G145="","",IF(G145&lt;TIME(11,0,0),"Matin",IF(G145&lt;TIME(15,0,0),"Midi",IF(G145&lt;TIME(18,0,0),"Après-midi","Soir"))))</x:f>
      </x:c>
      <x:c r="I145" s="25"/>
      <x:c r="J145" s="25"/>
      <x:c r="K145" s="25"/>
      <x:c r="L145" s="25"/>
      <x:c r="M145" s="25"/>
      <x:c r="N145" s="25"/>
      <x:c r="O145" s="80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  <x:c r="AA145" s="25"/>
      <x:c r="AB145" s="25"/>
      <x:c r="AC145" s="92"/>
      <x:c r="AD145" s="92"/>
      <x:c r="AE145" s="92"/>
      <x:c r="AF145" s="92"/>
      <x:c r="AG145" s="92"/>
      <x:c r="AH145" s="92"/>
      <x:c r="AI145" s="92"/>
      <x:c r="AJ145" s="92"/>
      <x:c r="AK145" s="94" t="str">
        <x:f>IF(B145="","",SUM(AG145:AJ145))</x:f>
      </x:c>
      <x:c r="AL145" s="84" t="n">
        <x:f>IFERROR(AK145/AD145,0)</x:f>
        <x:v>0</x:v>
      </x:c>
      <x:c r="AM145" s="92"/>
      <x:c r="AN145" s="92"/>
      <x:c r="AO145" s="92"/>
      <x:c r="AP145" s="92"/>
      <x:c r="AQ145" s="25"/>
      <x:c r="AR145" s="25"/>
      <x:c r="AS145" s="86"/>
      <x:c r="AT145" s="86"/>
      <x:c r="AU145" s="86"/>
      <x:c r="AV145" s="90"/>
      <x:c r="AW145" s="86"/>
      <x:c r="AX145" s="88" t="str">
        <x:f>IF(B145="","",AV145*'Paramètres'!$B$4+AW145)</x:f>
      </x:c>
      <x:c r="AY145" s="25"/>
      <x:c r="AZ145" s="25"/>
      <x:c r="BA145" s="25"/>
    </x:row>
    <x:row r="146">
      <x:c r="A146" s="78" t="str">
        <x:f>IF(B146="","",ROW()-5)</x:f>
      </x:c>
      <x:c r="B146" s="80"/>
      <x:c r="C146" s="78" t="str">
        <x:f>IF(B146="","",YEAR(B146))</x:f>
      </x:c>
      <x:c r="D146" s="78" t="str">
        <x:f>IF(B146="","",CHOOSE(MONTH(B146),"Janvier","Février","Mars","Avril","Mai","Juin","Juillet","Août","Septembre","Octobre","Novembre","Décembre"))</x:f>
      </x:c>
      <x:c r="E146" s="78" t="str">
        <x:f>IF(B146="","",WEEKNUM(B146,2))</x:f>
      </x:c>
      <x:c r="F146" s="78" t="str">
        <x:f>IF(B146="","",CHOOSE(WEEKDAY(B146,2),"Lundi","Mardi","Mercredi","Jeudi","Vendredi","Samedi","Dimanche"))</x:f>
      </x:c>
      <x:c r="G146" s="82"/>
      <x:c r="H146" s="78" t="str">
        <x:f>IF(G146="","",IF(G146&lt;TIME(11,0,0),"Matin",IF(G146&lt;TIME(15,0,0),"Midi",IF(G146&lt;TIME(18,0,0),"Après-midi","Soir"))))</x:f>
      </x:c>
      <x:c r="I146" s="25"/>
      <x:c r="J146" s="25"/>
      <x:c r="K146" s="25"/>
      <x:c r="L146" s="25"/>
      <x:c r="M146" s="25"/>
      <x:c r="N146" s="25"/>
      <x:c r="O146" s="80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  <x:c r="AA146" s="25"/>
      <x:c r="AB146" s="25"/>
      <x:c r="AC146" s="92"/>
      <x:c r="AD146" s="92"/>
      <x:c r="AE146" s="92"/>
      <x:c r="AF146" s="92"/>
      <x:c r="AG146" s="92"/>
      <x:c r="AH146" s="92"/>
      <x:c r="AI146" s="92"/>
      <x:c r="AJ146" s="92"/>
      <x:c r="AK146" s="94" t="str">
        <x:f>IF(B146="","",SUM(AG146:AJ146))</x:f>
      </x:c>
      <x:c r="AL146" s="84" t="n">
        <x:f>IFERROR(AK146/AD146,0)</x:f>
        <x:v>0</x:v>
      </x:c>
      <x:c r="AM146" s="92"/>
      <x:c r="AN146" s="92"/>
      <x:c r="AO146" s="92"/>
      <x:c r="AP146" s="92"/>
      <x:c r="AQ146" s="25"/>
      <x:c r="AR146" s="25"/>
      <x:c r="AS146" s="86"/>
      <x:c r="AT146" s="86"/>
      <x:c r="AU146" s="86"/>
      <x:c r="AV146" s="90"/>
      <x:c r="AW146" s="86"/>
      <x:c r="AX146" s="88" t="str">
        <x:f>IF(B146="","",AV146*'Paramètres'!$B$4+AW146)</x:f>
      </x:c>
      <x:c r="AY146" s="25"/>
      <x:c r="AZ146" s="25"/>
      <x:c r="BA146" s="25"/>
    </x:row>
    <x:row r="147">
      <x:c r="A147" s="78" t="str">
        <x:f>IF(B147="","",ROW()-5)</x:f>
      </x:c>
      <x:c r="B147" s="80"/>
      <x:c r="C147" s="78" t="str">
        <x:f>IF(B147="","",YEAR(B147))</x:f>
      </x:c>
      <x:c r="D147" s="78" t="str">
        <x:f>IF(B147="","",CHOOSE(MONTH(B147),"Janvier","Février","Mars","Avril","Mai","Juin","Juillet","Août","Septembre","Octobre","Novembre","Décembre"))</x:f>
      </x:c>
      <x:c r="E147" s="78" t="str">
        <x:f>IF(B147="","",WEEKNUM(B147,2))</x:f>
      </x:c>
      <x:c r="F147" s="78" t="str">
        <x:f>IF(B147="","",CHOOSE(WEEKDAY(B147,2),"Lundi","Mardi","Mercredi","Jeudi","Vendredi","Samedi","Dimanche"))</x:f>
      </x:c>
      <x:c r="G147" s="82"/>
      <x:c r="H147" s="78" t="str">
        <x:f>IF(G147="","",IF(G147&lt;TIME(11,0,0),"Matin",IF(G147&lt;TIME(15,0,0),"Midi",IF(G147&lt;TIME(18,0,0),"Après-midi","Soir"))))</x:f>
      </x:c>
      <x:c r="I147" s="25"/>
      <x:c r="J147" s="25"/>
      <x:c r="K147" s="25"/>
      <x:c r="L147" s="25"/>
      <x:c r="M147" s="25"/>
      <x:c r="N147" s="25"/>
      <x:c r="O147" s="80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  <x:c r="AA147" s="25"/>
      <x:c r="AB147" s="25"/>
      <x:c r="AC147" s="92"/>
      <x:c r="AD147" s="92"/>
      <x:c r="AE147" s="92"/>
      <x:c r="AF147" s="92"/>
      <x:c r="AG147" s="92"/>
      <x:c r="AH147" s="92"/>
      <x:c r="AI147" s="92"/>
      <x:c r="AJ147" s="92"/>
      <x:c r="AK147" s="94" t="str">
        <x:f>IF(B147="","",SUM(AG147:AJ147))</x:f>
      </x:c>
      <x:c r="AL147" s="84" t="n">
        <x:f>IFERROR(AK147/AD147,0)</x:f>
        <x:v>0</x:v>
      </x:c>
      <x:c r="AM147" s="92"/>
      <x:c r="AN147" s="92"/>
      <x:c r="AO147" s="92"/>
      <x:c r="AP147" s="92"/>
      <x:c r="AQ147" s="25"/>
      <x:c r="AR147" s="25"/>
      <x:c r="AS147" s="86"/>
      <x:c r="AT147" s="86"/>
      <x:c r="AU147" s="86"/>
      <x:c r="AV147" s="90"/>
      <x:c r="AW147" s="86"/>
      <x:c r="AX147" s="88" t="str">
        <x:f>IF(B147="","",AV147*'Paramètres'!$B$4+AW147)</x:f>
      </x:c>
      <x:c r="AY147" s="25"/>
      <x:c r="AZ147" s="25"/>
      <x:c r="BA147" s="25"/>
    </x:row>
    <x:row r="148">
      <x:c r="A148" s="78" t="str">
        <x:f>IF(B148="","",ROW()-5)</x:f>
      </x:c>
      <x:c r="B148" s="80"/>
      <x:c r="C148" s="78" t="str">
        <x:f>IF(B148="","",YEAR(B148))</x:f>
      </x:c>
      <x:c r="D148" s="78" t="str">
        <x:f>IF(B148="","",CHOOSE(MONTH(B148),"Janvier","Février","Mars","Avril","Mai","Juin","Juillet","Août","Septembre","Octobre","Novembre","Décembre"))</x:f>
      </x:c>
      <x:c r="E148" s="78" t="str">
        <x:f>IF(B148="","",WEEKNUM(B148,2))</x:f>
      </x:c>
      <x:c r="F148" s="78" t="str">
        <x:f>IF(B148="","",CHOOSE(WEEKDAY(B148,2),"Lundi","Mardi","Mercredi","Jeudi","Vendredi","Samedi","Dimanche"))</x:f>
      </x:c>
      <x:c r="G148" s="82"/>
      <x:c r="H148" s="78" t="str">
        <x:f>IF(G148="","",IF(G148&lt;TIME(11,0,0),"Matin",IF(G148&lt;TIME(15,0,0),"Midi",IF(G148&lt;TIME(18,0,0),"Après-midi","Soir"))))</x:f>
      </x:c>
      <x:c r="I148" s="25"/>
      <x:c r="J148" s="25"/>
      <x:c r="K148" s="25"/>
      <x:c r="L148" s="25"/>
      <x:c r="M148" s="25"/>
      <x:c r="N148" s="25"/>
      <x:c r="O148" s="80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  <x:c r="AA148" s="25"/>
      <x:c r="AB148" s="25"/>
      <x:c r="AC148" s="92"/>
      <x:c r="AD148" s="92"/>
      <x:c r="AE148" s="92"/>
      <x:c r="AF148" s="92"/>
      <x:c r="AG148" s="92"/>
      <x:c r="AH148" s="92"/>
      <x:c r="AI148" s="92"/>
      <x:c r="AJ148" s="92"/>
      <x:c r="AK148" s="94" t="str">
        <x:f>IF(B148="","",SUM(AG148:AJ148))</x:f>
      </x:c>
      <x:c r="AL148" s="84" t="n">
        <x:f>IFERROR(AK148/AD148,0)</x:f>
        <x:v>0</x:v>
      </x:c>
      <x:c r="AM148" s="92"/>
      <x:c r="AN148" s="92"/>
      <x:c r="AO148" s="92"/>
      <x:c r="AP148" s="92"/>
      <x:c r="AQ148" s="25"/>
      <x:c r="AR148" s="25"/>
      <x:c r="AS148" s="86"/>
      <x:c r="AT148" s="86"/>
      <x:c r="AU148" s="86"/>
      <x:c r="AV148" s="90"/>
      <x:c r="AW148" s="86"/>
      <x:c r="AX148" s="88" t="str">
        <x:f>IF(B148="","",AV148*'Paramètres'!$B$4+AW148)</x:f>
      </x:c>
      <x:c r="AY148" s="25"/>
      <x:c r="AZ148" s="25"/>
      <x:c r="BA148" s="25"/>
    </x:row>
    <x:row r="149">
      <x:c r="A149" s="78" t="str">
        <x:f>IF(B149="","",ROW()-5)</x:f>
      </x:c>
      <x:c r="B149" s="80"/>
      <x:c r="C149" s="78" t="str">
        <x:f>IF(B149="","",YEAR(B149))</x:f>
      </x:c>
      <x:c r="D149" s="78" t="str">
        <x:f>IF(B149="","",CHOOSE(MONTH(B149),"Janvier","Février","Mars","Avril","Mai","Juin","Juillet","Août","Septembre","Octobre","Novembre","Décembre"))</x:f>
      </x:c>
      <x:c r="E149" s="78" t="str">
        <x:f>IF(B149="","",WEEKNUM(B149,2))</x:f>
      </x:c>
      <x:c r="F149" s="78" t="str">
        <x:f>IF(B149="","",CHOOSE(WEEKDAY(B149,2),"Lundi","Mardi","Mercredi","Jeudi","Vendredi","Samedi","Dimanche"))</x:f>
      </x:c>
      <x:c r="G149" s="82"/>
      <x:c r="H149" s="78" t="str">
        <x:f>IF(G149="","",IF(G149&lt;TIME(11,0,0),"Matin",IF(G149&lt;TIME(15,0,0),"Midi",IF(G149&lt;TIME(18,0,0),"Après-midi","Soir"))))</x:f>
      </x:c>
      <x:c r="I149" s="25"/>
      <x:c r="J149" s="25"/>
      <x:c r="K149" s="25"/>
      <x:c r="L149" s="25"/>
      <x:c r="M149" s="25"/>
      <x:c r="N149" s="25"/>
      <x:c r="O149" s="80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  <x:c r="AA149" s="25"/>
      <x:c r="AB149" s="25"/>
      <x:c r="AC149" s="92"/>
      <x:c r="AD149" s="92"/>
      <x:c r="AE149" s="92"/>
      <x:c r="AF149" s="92"/>
      <x:c r="AG149" s="92"/>
      <x:c r="AH149" s="92"/>
      <x:c r="AI149" s="92"/>
      <x:c r="AJ149" s="92"/>
      <x:c r="AK149" s="94" t="str">
        <x:f>IF(B149="","",SUM(AG149:AJ149))</x:f>
      </x:c>
      <x:c r="AL149" s="84" t="n">
        <x:f>IFERROR(AK149/AD149,0)</x:f>
        <x:v>0</x:v>
      </x:c>
      <x:c r="AM149" s="92"/>
      <x:c r="AN149" s="92"/>
      <x:c r="AO149" s="92"/>
      <x:c r="AP149" s="92"/>
      <x:c r="AQ149" s="25"/>
      <x:c r="AR149" s="25"/>
      <x:c r="AS149" s="86"/>
      <x:c r="AT149" s="86"/>
      <x:c r="AU149" s="86"/>
      <x:c r="AV149" s="90"/>
      <x:c r="AW149" s="86"/>
      <x:c r="AX149" s="88" t="str">
        <x:f>IF(B149="","",AV149*'Paramètres'!$B$4+AW149)</x:f>
      </x:c>
      <x:c r="AY149" s="25"/>
      <x:c r="AZ149" s="25"/>
      <x:c r="BA149" s="25"/>
    </x:row>
    <x:row r="150">
      <x:c r="A150" s="78" t="str">
        <x:f>IF(B150="","",ROW()-5)</x:f>
      </x:c>
      <x:c r="B150" s="80"/>
      <x:c r="C150" s="78" t="str">
        <x:f>IF(B150="","",YEAR(B150))</x:f>
      </x:c>
      <x:c r="D150" s="78" t="str">
        <x:f>IF(B150="","",CHOOSE(MONTH(B150),"Janvier","Février","Mars","Avril","Mai","Juin","Juillet","Août","Septembre","Octobre","Novembre","Décembre"))</x:f>
      </x:c>
      <x:c r="E150" s="78" t="str">
        <x:f>IF(B150="","",WEEKNUM(B150,2))</x:f>
      </x:c>
      <x:c r="F150" s="78" t="str">
        <x:f>IF(B150="","",CHOOSE(WEEKDAY(B150,2),"Lundi","Mardi","Mercredi","Jeudi","Vendredi","Samedi","Dimanche"))</x:f>
      </x:c>
      <x:c r="G150" s="82"/>
      <x:c r="H150" s="78" t="str">
        <x:f>IF(G150="","",IF(G150&lt;TIME(11,0,0),"Matin",IF(G150&lt;TIME(15,0,0),"Midi",IF(G150&lt;TIME(18,0,0),"Après-midi","Soir"))))</x:f>
      </x:c>
      <x:c r="I150" s="25"/>
      <x:c r="J150" s="25"/>
      <x:c r="K150" s="25"/>
      <x:c r="L150" s="25"/>
      <x:c r="M150" s="25"/>
      <x:c r="N150" s="25"/>
      <x:c r="O150" s="80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  <x:c r="AA150" s="25"/>
      <x:c r="AB150" s="25"/>
      <x:c r="AC150" s="92"/>
      <x:c r="AD150" s="92"/>
      <x:c r="AE150" s="92"/>
      <x:c r="AF150" s="92"/>
      <x:c r="AG150" s="92"/>
      <x:c r="AH150" s="92"/>
      <x:c r="AI150" s="92"/>
      <x:c r="AJ150" s="92"/>
      <x:c r="AK150" s="94" t="str">
        <x:f>IF(B150="","",SUM(AG150:AJ150))</x:f>
      </x:c>
      <x:c r="AL150" s="84" t="n">
        <x:f>IFERROR(AK150/AD150,0)</x:f>
        <x:v>0</x:v>
      </x:c>
      <x:c r="AM150" s="92"/>
      <x:c r="AN150" s="92"/>
      <x:c r="AO150" s="92"/>
      <x:c r="AP150" s="92"/>
      <x:c r="AQ150" s="25"/>
      <x:c r="AR150" s="25"/>
      <x:c r="AS150" s="86"/>
      <x:c r="AT150" s="86"/>
      <x:c r="AU150" s="86"/>
      <x:c r="AV150" s="90"/>
      <x:c r="AW150" s="86"/>
      <x:c r="AX150" s="88" t="str">
        <x:f>IF(B150="","",AV150*'Paramètres'!$B$4+AW150)</x:f>
      </x:c>
      <x:c r="AY150" s="25"/>
      <x:c r="AZ150" s="25"/>
      <x:c r="BA150" s="25"/>
    </x:row>
    <x:row r="151">
      <x:c r="A151" s="78" t="str">
        <x:f>IF(B151="","",ROW()-5)</x:f>
      </x:c>
      <x:c r="B151" s="80"/>
      <x:c r="C151" s="78" t="str">
        <x:f>IF(B151="","",YEAR(B151))</x:f>
      </x:c>
      <x:c r="D151" s="78" t="str">
        <x:f>IF(B151="","",CHOOSE(MONTH(B151),"Janvier","Février","Mars","Avril","Mai","Juin","Juillet","Août","Septembre","Octobre","Novembre","Décembre"))</x:f>
      </x:c>
      <x:c r="E151" s="78" t="str">
        <x:f>IF(B151="","",WEEKNUM(B151,2))</x:f>
      </x:c>
      <x:c r="F151" s="78" t="str">
        <x:f>IF(B151="","",CHOOSE(WEEKDAY(B151,2),"Lundi","Mardi","Mercredi","Jeudi","Vendredi","Samedi","Dimanche"))</x:f>
      </x:c>
      <x:c r="G151" s="82"/>
      <x:c r="H151" s="78" t="str">
        <x:f>IF(G151="","",IF(G151&lt;TIME(11,0,0),"Matin",IF(G151&lt;TIME(15,0,0),"Midi",IF(G151&lt;TIME(18,0,0),"Après-midi","Soir"))))</x:f>
      </x:c>
      <x:c r="I151" s="25"/>
      <x:c r="J151" s="25"/>
      <x:c r="K151" s="25"/>
      <x:c r="L151" s="25"/>
      <x:c r="M151" s="25"/>
      <x:c r="N151" s="25"/>
      <x:c r="O151" s="80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  <x:c r="AA151" s="25"/>
      <x:c r="AB151" s="25"/>
      <x:c r="AC151" s="92"/>
      <x:c r="AD151" s="92"/>
      <x:c r="AE151" s="92"/>
      <x:c r="AF151" s="92"/>
      <x:c r="AG151" s="92"/>
      <x:c r="AH151" s="92"/>
      <x:c r="AI151" s="92"/>
      <x:c r="AJ151" s="92"/>
      <x:c r="AK151" s="94" t="str">
        <x:f>IF(B151="","",SUM(AG151:AJ151))</x:f>
      </x:c>
      <x:c r="AL151" s="84" t="n">
        <x:f>IFERROR(AK151/AD151,0)</x:f>
        <x:v>0</x:v>
      </x:c>
      <x:c r="AM151" s="92"/>
      <x:c r="AN151" s="92"/>
      <x:c r="AO151" s="92"/>
      <x:c r="AP151" s="92"/>
      <x:c r="AQ151" s="25"/>
      <x:c r="AR151" s="25"/>
      <x:c r="AS151" s="86"/>
      <x:c r="AT151" s="86"/>
      <x:c r="AU151" s="86"/>
      <x:c r="AV151" s="90"/>
      <x:c r="AW151" s="86"/>
      <x:c r="AX151" s="88" t="str">
        <x:f>IF(B151="","",AV151*'Paramètres'!$B$4+AW151)</x:f>
      </x:c>
      <x:c r="AY151" s="25"/>
      <x:c r="AZ151" s="25"/>
      <x:c r="BA151" s="25"/>
    </x:row>
    <x:row r="152">
      <x:c r="A152" s="78" t="str">
        <x:f>IF(B152="","",ROW()-5)</x:f>
      </x:c>
      <x:c r="B152" s="80"/>
      <x:c r="C152" s="78" t="str">
        <x:f>IF(B152="","",YEAR(B152))</x:f>
      </x:c>
      <x:c r="D152" s="78" t="str">
        <x:f>IF(B152="","",CHOOSE(MONTH(B152),"Janvier","Février","Mars","Avril","Mai","Juin","Juillet","Août","Septembre","Octobre","Novembre","Décembre"))</x:f>
      </x:c>
      <x:c r="E152" s="78" t="str">
        <x:f>IF(B152="","",WEEKNUM(B152,2))</x:f>
      </x:c>
      <x:c r="F152" s="78" t="str">
        <x:f>IF(B152="","",CHOOSE(WEEKDAY(B152,2),"Lundi","Mardi","Mercredi","Jeudi","Vendredi","Samedi","Dimanche"))</x:f>
      </x:c>
      <x:c r="G152" s="82"/>
      <x:c r="H152" s="78" t="str">
        <x:f>IF(G152="","",IF(G152&lt;TIME(11,0,0),"Matin",IF(G152&lt;TIME(15,0,0),"Midi",IF(G152&lt;TIME(18,0,0),"Après-midi","Soir"))))</x:f>
      </x:c>
      <x:c r="I152" s="25"/>
      <x:c r="J152" s="25"/>
      <x:c r="K152" s="25"/>
      <x:c r="L152" s="25"/>
      <x:c r="M152" s="25"/>
      <x:c r="N152" s="25"/>
      <x:c r="O152" s="80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  <x:c r="AA152" s="25"/>
      <x:c r="AB152" s="25"/>
      <x:c r="AC152" s="92"/>
      <x:c r="AD152" s="92"/>
      <x:c r="AE152" s="92"/>
      <x:c r="AF152" s="92"/>
      <x:c r="AG152" s="92"/>
      <x:c r="AH152" s="92"/>
      <x:c r="AI152" s="92"/>
      <x:c r="AJ152" s="92"/>
      <x:c r="AK152" s="94" t="str">
        <x:f>IF(B152="","",SUM(AG152:AJ152))</x:f>
      </x:c>
      <x:c r="AL152" s="84" t="n">
        <x:f>IFERROR(AK152/AD152,0)</x:f>
        <x:v>0</x:v>
      </x:c>
      <x:c r="AM152" s="92"/>
      <x:c r="AN152" s="92"/>
      <x:c r="AO152" s="92"/>
      <x:c r="AP152" s="92"/>
      <x:c r="AQ152" s="25"/>
      <x:c r="AR152" s="25"/>
      <x:c r="AS152" s="86"/>
      <x:c r="AT152" s="86"/>
      <x:c r="AU152" s="86"/>
      <x:c r="AV152" s="90"/>
      <x:c r="AW152" s="86"/>
      <x:c r="AX152" s="88" t="str">
        <x:f>IF(B152="","",AV152*'Paramètres'!$B$4+AW152)</x:f>
      </x:c>
      <x:c r="AY152" s="25"/>
      <x:c r="AZ152" s="25"/>
      <x:c r="BA152" s="25"/>
    </x:row>
    <x:row r="153">
      <x:c r="A153" s="78" t="str">
        <x:f>IF(B153="","",ROW()-5)</x:f>
      </x:c>
      <x:c r="B153" s="80"/>
      <x:c r="C153" s="78" t="str">
        <x:f>IF(B153="","",YEAR(B153))</x:f>
      </x:c>
      <x:c r="D153" s="78" t="str">
        <x:f>IF(B153="","",CHOOSE(MONTH(B153),"Janvier","Février","Mars","Avril","Mai","Juin","Juillet","Août","Septembre","Octobre","Novembre","Décembre"))</x:f>
      </x:c>
      <x:c r="E153" s="78" t="str">
        <x:f>IF(B153="","",WEEKNUM(B153,2))</x:f>
      </x:c>
      <x:c r="F153" s="78" t="str">
        <x:f>IF(B153="","",CHOOSE(WEEKDAY(B153,2),"Lundi","Mardi","Mercredi","Jeudi","Vendredi","Samedi","Dimanche"))</x:f>
      </x:c>
      <x:c r="G153" s="82"/>
      <x:c r="H153" s="78" t="str">
        <x:f>IF(G153="","",IF(G153&lt;TIME(11,0,0),"Matin",IF(G153&lt;TIME(15,0,0),"Midi",IF(G153&lt;TIME(18,0,0),"Après-midi","Soir"))))</x:f>
      </x:c>
      <x:c r="I153" s="25"/>
      <x:c r="J153" s="25"/>
      <x:c r="K153" s="25"/>
      <x:c r="L153" s="25"/>
      <x:c r="M153" s="25"/>
      <x:c r="N153" s="25"/>
      <x:c r="O153" s="80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  <x:c r="AA153" s="25"/>
      <x:c r="AB153" s="25"/>
      <x:c r="AC153" s="92"/>
      <x:c r="AD153" s="92"/>
      <x:c r="AE153" s="92"/>
      <x:c r="AF153" s="92"/>
      <x:c r="AG153" s="92"/>
      <x:c r="AH153" s="92"/>
      <x:c r="AI153" s="92"/>
      <x:c r="AJ153" s="92"/>
      <x:c r="AK153" s="94" t="str">
        <x:f>IF(B153="","",SUM(AG153:AJ153))</x:f>
      </x:c>
      <x:c r="AL153" s="84" t="n">
        <x:f>IFERROR(AK153/AD153,0)</x:f>
        <x:v>0</x:v>
      </x:c>
      <x:c r="AM153" s="92"/>
      <x:c r="AN153" s="92"/>
      <x:c r="AO153" s="92"/>
      <x:c r="AP153" s="92"/>
      <x:c r="AQ153" s="25"/>
      <x:c r="AR153" s="25"/>
      <x:c r="AS153" s="86"/>
      <x:c r="AT153" s="86"/>
      <x:c r="AU153" s="86"/>
      <x:c r="AV153" s="90"/>
      <x:c r="AW153" s="86"/>
      <x:c r="AX153" s="88" t="str">
        <x:f>IF(B153="","",AV153*'Paramètres'!$B$4+AW153)</x:f>
      </x:c>
      <x:c r="AY153" s="25"/>
      <x:c r="AZ153" s="25"/>
      <x:c r="BA153" s="25"/>
    </x:row>
    <x:row r="154">
      <x:c r="A154" s="78" t="str">
        <x:f>IF(B154="","",ROW()-5)</x:f>
      </x:c>
      <x:c r="B154" s="80"/>
      <x:c r="C154" s="78" t="str">
        <x:f>IF(B154="","",YEAR(B154))</x:f>
      </x:c>
      <x:c r="D154" s="78" t="str">
        <x:f>IF(B154="","",CHOOSE(MONTH(B154),"Janvier","Février","Mars","Avril","Mai","Juin","Juillet","Août","Septembre","Octobre","Novembre","Décembre"))</x:f>
      </x:c>
      <x:c r="E154" s="78" t="str">
        <x:f>IF(B154="","",WEEKNUM(B154,2))</x:f>
      </x:c>
      <x:c r="F154" s="78" t="str">
        <x:f>IF(B154="","",CHOOSE(WEEKDAY(B154,2),"Lundi","Mardi","Mercredi","Jeudi","Vendredi","Samedi","Dimanche"))</x:f>
      </x:c>
      <x:c r="G154" s="82"/>
      <x:c r="H154" s="78" t="str">
        <x:f>IF(G154="","",IF(G154&lt;TIME(11,0,0),"Matin",IF(G154&lt;TIME(15,0,0),"Midi",IF(G154&lt;TIME(18,0,0),"Après-midi","Soir"))))</x:f>
      </x:c>
      <x:c r="I154" s="25"/>
      <x:c r="J154" s="25"/>
      <x:c r="K154" s="25"/>
      <x:c r="L154" s="25"/>
      <x:c r="M154" s="25"/>
      <x:c r="N154" s="25"/>
      <x:c r="O154" s="80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  <x:c r="AA154" s="25"/>
      <x:c r="AB154" s="25"/>
      <x:c r="AC154" s="92"/>
      <x:c r="AD154" s="92"/>
      <x:c r="AE154" s="92"/>
      <x:c r="AF154" s="92"/>
      <x:c r="AG154" s="92"/>
      <x:c r="AH154" s="92"/>
      <x:c r="AI154" s="92"/>
      <x:c r="AJ154" s="92"/>
      <x:c r="AK154" s="94" t="str">
        <x:f>IF(B154="","",SUM(AG154:AJ154))</x:f>
      </x:c>
      <x:c r="AL154" s="84" t="n">
        <x:f>IFERROR(AK154/AD154,0)</x:f>
        <x:v>0</x:v>
      </x:c>
      <x:c r="AM154" s="92"/>
      <x:c r="AN154" s="92"/>
      <x:c r="AO154" s="92"/>
      <x:c r="AP154" s="92"/>
      <x:c r="AQ154" s="25"/>
      <x:c r="AR154" s="25"/>
      <x:c r="AS154" s="86"/>
      <x:c r="AT154" s="86"/>
      <x:c r="AU154" s="86"/>
      <x:c r="AV154" s="90"/>
      <x:c r="AW154" s="86"/>
      <x:c r="AX154" s="88" t="str">
        <x:f>IF(B154="","",AV154*'Paramètres'!$B$4+AW154)</x:f>
      </x:c>
      <x:c r="AY154" s="25"/>
      <x:c r="AZ154" s="25"/>
      <x:c r="BA154" s="25"/>
    </x:row>
    <x:row r="155">
      <x:c r="A155" s="78" t="str">
        <x:f>IF(B155="","",ROW()-5)</x:f>
      </x:c>
      <x:c r="B155" s="80"/>
      <x:c r="C155" s="78" t="str">
        <x:f>IF(B155="","",YEAR(B155))</x:f>
      </x:c>
      <x:c r="D155" s="78" t="str">
        <x:f>IF(B155="","",CHOOSE(MONTH(B155),"Janvier","Février","Mars","Avril","Mai","Juin","Juillet","Août","Septembre","Octobre","Novembre","Décembre"))</x:f>
      </x:c>
      <x:c r="E155" s="78" t="str">
        <x:f>IF(B155="","",WEEKNUM(B155,2))</x:f>
      </x:c>
      <x:c r="F155" s="78" t="str">
        <x:f>IF(B155="","",CHOOSE(WEEKDAY(B155,2),"Lundi","Mardi","Mercredi","Jeudi","Vendredi","Samedi","Dimanche"))</x:f>
      </x:c>
      <x:c r="G155" s="82"/>
      <x:c r="H155" s="78" t="str">
        <x:f>IF(G155="","",IF(G155&lt;TIME(11,0,0),"Matin",IF(G155&lt;TIME(15,0,0),"Midi",IF(G155&lt;TIME(18,0,0),"Après-midi","Soir"))))</x:f>
      </x:c>
      <x:c r="I155" s="25"/>
      <x:c r="J155" s="25"/>
      <x:c r="K155" s="25"/>
      <x:c r="L155" s="25"/>
      <x:c r="M155" s="25"/>
      <x:c r="N155" s="25"/>
      <x:c r="O155" s="80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  <x:c r="AA155" s="25"/>
      <x:c r="AB155" s="25"/>
      <x:c r="AC155" s="92"/>
      <x:c r="AD155" s="92"/>
      <x:c r="AE155" s="92"/>
      <x:c r="AF155" s="92"/>
      <x:c r="AG155" s="92"/>
      <x:c r="AH155" s="92"/>
      <x:c r="AI155" s="92"/>
      <x:c r="AJ155" s="92"/>
      <x:c r="AK155" s="94" t="str">
        <x:f>IF(B155="","",SUM(AG155:AJ155))</x:f>
      </x:c>
      <x:c r="AL155" s="84" t="n">
        <x:f>IFERROR(AK155/AD155,0)</x:f>
        <x:v>0</x:v>
      </x:c>
      <x:c r="AM155" s="92"/>
      <x:c r="AN155" s="92"/>
      <x:c r="AO155" s="92"/>
      <x:c r="AP155" s="92"/>
      <x:c r="AQ155" s="25"/>
      <x:c r="AR155" s="25"/>
      <x:c r="AS155" s="86"/>
      <x:c r="AT155" s="86"/>
      <x:c r="AU155" s="86"/>
      <x:c r="AV155" s="90"/>
      <x:c r="AW155" s="86"/>
      <x:c r="AX155" s="88" t="str">
        <x:f>IF(B155="","",AV155*'Paramètres'!$B$4+AW155)</x:f>
      </x:c>
      <x:c r="AY155" s="25"/>
      <x:c r="AZ155" s="25"/>
      <x:c r="BA155" s="25"/>
    </x:row>
    <x:row r="156">
      <x:c r="A156" s="78" t="str">
        <x:f>IF(B156="","",ROW()-5)</x:f>
      </x:c>
      <x:c r="B156" s="80"/>
      <x:c r="C156" s="78" t="str">
        <x:f>IF(B156="","",YEAR(B156))</x:f>
      </x:c>
      <x:c r="D156" s="78" t="str">
        <x:f>IF(B156="","",CHOOSE(MONTH(B156),"Janvier","Février","Mars","Avril","Mai","Juin","Juillet","Août","Septembre","Octobre","Novembre","Décembre"))</x:f>
      </x:c>
      <x:c r="E156" s="78" t="str">
        <x:f>IF(B156="","",WEEKNUM(B156,2))</x:f>
      </x:c>
      <x:c r="F156" s="78" t="str">
        <x:f>IF(B156="","",CHOOSE(WEEKDAY(B156,2),"Lundi","Mardi","Mercredi","Jeudi","Vendredi","Samedi","Dimanche"))</x:f>
      </x:c>
      <x:c r="G156" s="82"/>
      <x:c r="H156" s="78" t="str">
        <x:f>IF(G156="","",IF(G156&lt;TIME(11,0,0),"Matin",IF(G156&lt;TIME(15,0,0),"Midi",IF(G156&lt;TIME(18,0,0),"Après-midi","Soir"))))</x:f>
      </x:c>
      <x:c r="I156" s="25"/>
      <x:c r="J156" s="25"/>
      <x:c r="K156" s="25"/>
      <x:c r="L156" s="25"/>
      <x:c r="M156" s="25"/>
      <x:c r="N156" s="25"/>
      <x:c r="O156" s="80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  <x:c r="AA156" s="25"/>
      <x:c r="AB156" s="25"/>
      <x:c r="AC156" s="92"/>
      <x:c r="AD156" s="92"/>
      <x:c r="AE156" s="92"/>
      <x:c r="AF156" s="92"/>
      <x:c r="AG156" s="92"/>
      <x:c r="AH156" s="92"/>
      <x:c r="AI156" s="92"/>
      <x:c r="AJ156" s="92"/>
      <x:c r="AK156" s="94" t="str">
        <x:f>IF(B156="","",SUM(AG156:AJ156))</x:f>
      </x:c>
      <x:c r="AL156" s="84" t="n">
        <x:f>IFERROR(AK156/AD156,0)</x:f>
        <x:v>0</x:v>
      </x:c>
      <x:c r="AM156" s="92"/>
      <x:c r="AN156" s="92"/>
      <x:c r="AO156" s="92"/>
      <x:c r="AP156" s="92"/>
      <x:c r="AQ156" s="25"/>
      <x:c r="AR156" s="25"/>
      <x:c r="AS156" s="86"/>
      <x:c r="AT156" s="86"/>
      <x:c r="AU156" s="86"/>
      <x:c r="AV156" s="90"/>
      <x:c r="AW156" s="86"/>
      <x:c r="AX156" s="88" t="str">
        <x:f>IF(B156="","",AV156*'Paramètres'!$B$4+AW156)</x:f>
      </x:c>
      <x:c r="AY156" s="25"/>
      <x:c r="AZ156" s="25"/>
      <x:c r="BA156" s="25"/>
    </x:row>
    <x:row r="157">
      <x:c r="A157" s="78" t="str">
        <x:f>IF(B157="","",ROW()-5)</x:f>
      </x:c>
      <x:c r="B157" s="80"/>
      <x:c r="C157" s="78" t="str">
        <x:f>IF(B157="","",YEAR(B157))</x:f>
      </x:c>
      <x:c r="D157" s="78" t="str">
        <x:f>IF(B157="","",CHOOSE(MONTH(B157),"Janvier","Février","Mars","Avril","Mai","Juin","Juillet","Août","Septembre","Octobre","Novembre","Décembre"))</x:f>
      </x:c>
      <x:c r="E157" s="78" t="str">
        <x:f>IF(B157="","",WEEKNUM(B157,2))</x:f>
      </x:c>
      <x:c r="F157" s="78" t="str">
        <x:f>IF(B157="","",CHOOSE(WEEKDAY(B157,2),"Lundi","Mardi","Mercredi","Jeudi","Vendredi","Samedi","Dimanche"))</x:f>
      </x:c>
      <x:c r="G157" s="82"/>
      <x:c r="H157" s="78" t="str">
        <x:f>IF(G157="","",IF(G157&lt;TIME(11,0,0),"Matin",IF(G157&lt;TIME(15,0,0),"Midi",IF(G157&lt;TIME(18,0,0),"Après-midi","Soir"))))</x:f>
      </x:c>
      <x:c r="I157" s="25"/>
      <x:c r="J157" s="25"/>
      <x:c r="K157" s="25"/>
      <x:c r="L157" s="25"/>
      <x:c r="M157" s="25"/>
      <x:c r="N157" s="25"/>
      <x:c r="O157" s="80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  <x:c r="AA157" s="25"/>
      <x:c r="AB157" s="25"/>
      <x:c r="AC157" s="92"/>
      <x:c r="AD157" s="92"/>
      <x:c r="AE157" s="92"/>
      <x:c r="AF157" s="92"/>
      <x:c r="AG157" s="92"/>
      <x:c r="AH157" s="92"/>
      <x:c r="AI157" s="92"/>
      <x:c r="AJ157" s="92"/>
      <x:c r="AK157" s="94" t="str">
        <x:f>IF(B157="","",SUM(AG157:AJ157))</x:f>
      </x:c>
      <x:c r="AL157" s="84" t="n">
        <x:f>IFERROR(AK157/AD157,0)</x:f>
        <x:v>0</x:v>
      </x:c>
      <x:c r="AM157" s="92"/>
      <x:c r="AN157" s="92"/>
      <x:c r="AO157" s="92"/>
      <x:c r="AP157" s="92"/>
      <x:c r="AQ157" s="25"/>
      <x:c r="AR157" s="25"/>
      <x:c r="AS157" s="86"/>
      <x:c r="AT157" s="86"/>
      <x:c r="AU157" s="86"/>
      <x:c r="AV157" s="90"/>
      <x:c r="AW157" s="86"/>
      <x:c r="AX157" s="88" t="str">
        <x:f>IF(B157="","",AV157*'Paramètres'!$B$4+AW157)</x:f>
      </x:c>
      <x:c r="AY157" s="25"/>
      <x:c r="AZ157" s="25"/>
      <x:c r="BA157" s="25"/>
    </x:row>
    <x:row r="158">
      <x:c r="A158" s="78" t="str">
        <x:f>IF(B158="","",ROW()-5)</x:f>
      </x:c>
      <x:c r="B158" s="80"/>
      <x:c r="C158" s="78" t="str">
        <x:f>IF(B158="","",YEAR(B158))</x:f>
      </x:c>
      <x:c r="D158" s="78" t="str">
        <x:f>IF(B158="","",CHOOSE(MONTH(B158),"Janvier","Février","Mars","Avril","Mai","Juin","Juillet","Août","Septembre","Octobre","Novembre","Décembre"))</x:f>
      </x:c>
      <x:c r="E158" s="78" t="str">
        <x:f>IF(B158="","",WEEKNUM(B158,2))</x:f>
      </x:c>
      <x:c r="F158" s="78" t="str">
        <x:f>IF(B158="","",CHOOSE(WEEKDAY(B158,2),"Lundi","Mardi","Mercredi","Jeudi","Vendredi","Samedi","Dimanche"))</x:f>
      </x:c>
      <x:c r="G158" s="82"/>
      <x:c r="H158" s="78" t="str">
        <x:f>IF(G158="","",IF(G158&lt;TIME(11,0,0),"Matin",IF(G158&lt;TIME(15,0,0),"Midi",IF(G158&lt;TIME(18,0,0),"Après-midi","Soir"))))</x:f>
      </x:c>
      <x:c r="I158" s="25"/>
      <x:c r="J158" s="25"/>
      <x:c r="K158" s="25"/>
      <x:c r="L158" s="25"/>
      <x:c r="M158" s="25"/>
      <x:c r="N158" s="25"/>
      <x:c r="O158" s="80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  <x:c r="AA158" s="25"/>
      <x:c r="AB158" s="25"/>
      <x:c r="AC158" s="92"/>
      <x:c r="AD158" s="92"/>
      <x:c r="AE158" s="92"/>
      <x:c r="AF158" s="92"/>
      <x:c r="AG158" s="92"/>
      <x:c r="AH158" s="92"/>
      <x:c r="AI158" s="92"/>
      <x:c r="AJ158" s="92"/>
      <x:c r="AK158" s="94" t="str">
        <x:f>IF(B158="","",SUM(AG158:AJ158))</x:f>
      </x:c>
      <x:c r="AL158" s="84" t="n">
        <x:f>IFERROR(AK158/AD158,0)</x:f>
        <x:v>0</x:v>
      </x:c>
      <x:c r="AM158" s="92"/>
      <x:c r="AN158" s="92"/>
      <x:c r="AO158" s="92"/>
      <x:c r="AP158" s="92"/>
      <x:c r="AQ158" s="25"/>
      <x:c r="AR158" s="25"/>
      <x:c r="AS158" s="86"/>
      <x:c r="AT158" s="86"/>
      <x:c r="AU158" s="86"/>
      <x:c r="AV158" s="90"/>
      <x:c r="AW158" s="86"/>
      <x:c r="AX158" s="88" t="str">
        <x:f>IF(B158="","",AV158*'Paramètres'!$B$4+AW158)</x:f>
      </x:c>
      <x:c r="AY158" s="25"/>
      <x:c r="AZ158" s="25"/>
      <x:c r="BA158" s="25"/>
    </x:row>
    <x:row r="159">
      <x:c r="A159" s="78" t="str">
        <x:f>IF(B159="","",ROW()-5)</x:f>
      </x:c>
      <x:c r="B159" s="80"/>
      <x:c r="C159" s="78" t="str">
        <x:f>IF(B159="","",YEAR(B159))</x:f>
      </x:c>
      <x:c r="D159" s="78" t="str">
        <x:f>IF(B159="","",CHOOSE(MONTH(B159),"Janvier","Février","Mars","Avril","Mai","Juin","Juillet","Août","Septembre","Octobre","Novembre","Décembre"))</x:f>
      </x:c>
      <x:c r="E159" s="78" t="str">
        <x:f>IF(B159="","",WEEKNUM(B159,2))</x:f>
      </x:c>
      <x:c r="F159" s="78" t="str">
        <x:f>IF(B159="","",CHOOSE(WEEKDAY(B159,2),"Lundi","Mardi","Mercredi","Jeudi","Vendredi","Samedi","Dimanche"))</x:f>
      </x:c>
      <x:c r="G159" s="82"/>
      <x:c r="H159" s="78" t="str">
        <x:f>IF(G159="","",IF(G159&lt;TIME(11,0,0),"Matin",IF(G159&lt;TIME(15,0,0),"Midi",IF(G159&lt;TIME(18,0,0),"Après-midi","Soir"))))</x:f>
      </x:c>
      <x:c r="I159" s="25"/>
      <x:c r="J159" s="25"/>
      <x:c r="K159" s="25"/>
      <x:c r="L159" s="25"/>
      <x:c r="M159" s="25"/>
      <x:c r="N159" s="25"/>
      <x:c r="O159" s="80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  <x:c r="AA159" s="25"/>
      <x:c r="AB159" s="25"/>
      <x:c r="AC159" s="92"/>
      <x:c r="AD159" s="92"/>
      <x:c r="AE159" s="92"/>
      <x:c r="AF159" s="92"/>
      <x:c r="AG159" s="92"/>
      <x:c r="AH159" s="92"/>
      <x:c r="AI159" s="92"/>
      <x:c r="AJ159" s="92"/>
      <x:c r="AK159" s="94" t="str">
        <x:f>IF(B159="","",SUM(AG159:AJ159))</x:f>
      </x:c>
      <x:c r="AL159" s="84" t="n">
        <x:f>IFERROR(AK159/AD159,0)</x:f>
        <x:v>0</x:v>
      </x:c>
      <x:c r="AM159" s="92"/>
      <x:c r="AN159" s="92"/>
      <x:c r="AO159" s="92"/>
      <x:c r="AP159" s="92"/>
      <x:c r="AQ159" s="25"/>
      <x:c r="AR159" s="25"/>
      <x:c r="AS159" s="86"/>
      <x:c r="AT159" s="86"/>
      <x:c r="AU159" s="86"/>
      <x:c r="AV159" s="90"/>
      <x:c r="AW159" s="86"/>
      <x:c r="AX159" s="88" t="str">
        <x:f>IF(B159="","",AV159*'Paramètres'!$B$4+AW159)</x:f>
      </x:c>
      <x:c r="AY159" s="25"/>
      <x:c r="AZ159" s="25"/>
      <x:c r="BA159" s="25"/>
    </x:row>
    <x:row r="160">
      <x:c r="A160" s="78" t="str">
        <x:f>IF(B160="","",ROW()-5)</x:f>
      </x:c>
      <x:c r="B160" s="80"/>
      <x:c r="C160" s="78" t="str">
        <x:f>IF(B160="","",YEAR(B160))</x:f>
      </x:c>
      <x:c r="D160" s="78" t="str">
        <x:f>IF(B160="","",CHOOSE(MONTH(B160),"Janvier","Février","Mars","Avril","Mai","Juin","Juillet","Août","Septembre","Octobre","Novembre","Décembre"))</x:f>
      </x:c>
      <x:c r="E160" s="78" t="str">
        <x:f>IF(B160="","",WEEKNUM(B160,2))</x:f>
      </x:c>
      <x:c r="F160" s="78" t="str">
        <x:f>IF(B160="","",CHOOSE(WEEKDAY(B160,2),"Lundi","Mardi","Mercredi","Jeudi","Vendredi","Samedi","Dimanche"))</x:f>
      </x:c>
      <x:c r="G160" s="82"/>
      <x:c r="H160" s="78" t="str">
        <x:f>IF(G160="","",IF(G160&lt;TIME(11,0,0),"Matin",IF(G160&lt;TIME(15,0,0),"Midi",IF(G160&lt;TIME(18,0,0),"Après-midi","Soir"))))</x:f>
      </x:c>
      <x:c r="I160" s="25"/>
      <x:c r="J160" s="25"/>
      <x:c r="K160" s="25"/>
      <x:c r="L160" s="25"/>
      <x:c r="M160" s="25"/>
      <x:c r="N160" s="25"/>
      <x:c r="O160" s="80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  <x:c r="AA160" s="25"/>
      <x:c r="AB160" s="25"/>
      <x:c r="AC160" s="92"/>
      <x:c r="AD160" s="92"/>
      <x:c r="AE160" s="92"/>
      <x:c r="AF160" s="92"/>
      <x:c r="AG160" s="92"/>
      <x:c r="AH160" s="92"/>
      <x:c r="AI160" s="92"/>
      <x:c r="AJ160" s="92"/>
      <x:c r="AK160" s="94" t="str">
        <x:f>IF(B160="","",SUM(AG160:AJ160))</x:f>
      </x:c>
      <x:c r="AL160" s="84" t="n">
        <x:f>IFERROR(AK160/AD160,0)</x:f>
        <x:v>0</x:v>
      </x:c>
      <x:c r="AM160" s="92"/>
      <x:c r="AN160" s="92"/>
      <x:c r="AO160" s="92"/>
      <x:c r="AP160" s="92"/>
      <x:c r="AQ160" s="25"/>
      <x:c r="AR160" s="25"/>
      <x:c r="AS160" s="86"/>
      <x:c r="AT160" s="86"/>
      <x:c r="AU160" s="86"/>
      <x:c r="AV160" s="90"/>
      <x:c r="AW160" s="86"/>
      <x:c r="AX160" s="88" t="str">
        <x:f>IF(B160="","",AV160*'Paramètres'!$B$4+AW160)</x:f>
      </x:c>
      <x:c r="AY160" s="25"/>
      <x:c r="AZ160" s="25"/>
      <x:c r="BA160" s="25"/>
    </x:row>
    <x:row r="161">
      <x:c r="A161" s="78" t="str">
        <x:f>IF(B161="","",ROW()-5)</x:f>
      </x:c>
      <x:c r="B161" s="80"/>
      <x:c r="C161" s="78" t="str">
        <x:f>IF(B161="","",YEAR(B161))</x:f>
      </x:c>
      <x:c r="D161" s="78" t="str">
        <x:f>IF(B161="","",CHOOSE(MONTH(B161),"Janvier","Février","Mars","Avril","Mai","Juin","Juillet","Août","Septembre","Octobre","Novembre","Décembre"))</x:f>
      </x:c>
      <x:c r="E161" s="78" t="str">
        <x:f>IF(B161="","",WEEKNUM(B161,2))</x:f>
      </x:c>
      <x:c r="F161" s="78" t="str">
        <x:f>IF(B161="","",CHOOSE(WEEKDAY(B161,2),"Lundi","Mardi","Mercredi","Jeudi","Vendredi","Samedi","Dimanche"))</x:f>
      </x:c>
      <x:c r="G161" s="82"/>
      <x:c r="H161" s="78" t="str">
        <x:f>IF(G161="","",IF(G161&lt;TIME(11,0,0),"Matin",IF(G161&lt;TIME(15,0,0),"Midi",IF(G161&lt;TIME(18,0,0),"Après-midi","Soir"))))</x:f>
      </x:c>
      <x:c r="I161" s="25"/>
      <x:c r="J161" s="25"/>
      <x:c r="K161" s="25"/>
      <x:c r="L161" s="25"/>
      <x:c r="M161" s="25"/>
      <x:c r="N161" s="25"/>
      <x:c r="O161" s="80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  <x:c r="AA161" s="25"/>
      <x:c r="AB161" s="25"/>
      <x:c r="AC161" s="92"/>
      <x:c r="AD161" s="92"/>
      <x:c r="AE161" s="92"/>
      <x:c r="AF161" s="92"/>
      <x:c r="AG161" s="92"/>
      <x:c r="AH161" s="92"/>
      <x:c r="AI161" s="92"/>
      <x:c r="AJ161" s="92"/>
      <x:c r="AK161" s="94" t="str">
        <x:f>IF(B161="","",SUM(AG161:AJ161))</x:f>
      </x:c>
      <x:c r="AL161" s="84" t="n">
        <x:f>IFERROR(AK161/AD161,0)</x:f>
        <x:v>0</x:v>
      </x:c>
      <x:c r="AM161" s="92"/>
      <x:c r="AN161" s="92"/>
      <x:c r="AO161" s="92"/>
      <x:c r="AP161" s="92"/>
      <x:c r="AQ161" s="25"/>
      <x:c r="AR161" s="25"/>
      <x:c r="AS161" s="86"/>
      <x:c r="AT161" s="86"/>
      <x:c r="AU161" s="86"/>
      <x:c r="AV161" s="90"/>
      <x:c r="AW161" s="86"/>
      <x:c r="AX161" s="88" t="str">
        <x:f>IF(B161="","",AV161*'Paramètres'!$B$4+AW161)</x:f>
      </x:c>
      <x:c r="AY161" s="25"/>
      <x:c r="AZ161" s="25"/>
      <x:c r="BA161" s="25"/>
    </x:row>
    <x:row r="162">
      <x:c r="A162" s="78" t="str">
        <x:f>IF(B162="","",ROW()-5)</x:f>
      </x:c>
      <x:c r="B162" s="80"/>
      <x:c r="C162" s="78" t="str">
        <x:f>IF(B162="","",YEAR(B162))</x:f>
      </x:c>
      <x:c r="D162" s="78" t="str">
        <x:f>IF(B162="","",CHOOSE(MONTH(B162),"Janvier","Février","Mars","Avril","Mai","Juin","Juillet","Août","Septembre","Octobre","Novembre","Décembre"))</x:f>
      </x:c>
      <x:c r="E162" s="78" t="str">
        <x:f>IF(B162="","",WEEKNUM(B162,2))</x:f>
      </x:c>
      <x:c r="F162" s="78" t="str">
        <x:f>IF(B162="","",CHOOSE(WEEKDAY(B162,2),"Lundi","Mardi","Mercredi","Jeudi","Vendredi","Samedi","Dimanche"))</x:f>
      </x:c>
      <x:c r="G162" s="82"/>
      <x:c r="H162" s="78" t="str">
        <x:f>IF(G162="","",IF(G162&lt;TIME(11,0,0),"Matin",IF(G162&lt;TIME(15,0,0),"Midi",IF(G162&lt;TIME(18,0,0),"Après-midi","Soir"))))</x:f>
      </x:c>
      <x:c r="I162" s="25"/>
      <x:c r="J162" s="25"/>
      <x:c r="K162" s="25"/>
      <x:c r="L162" s="25"/>
      <x:c r="M162" s="25"/>
      <x:c r="N162" s="25"/>
      <x:c r="O162" s="80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  <x:c r="AA162" s="25"/>
      <x:c r="AB162" s="25"/>
      <x:c r="AC162" s="92"/>
      <x:c r="AD162" s="92"/>
      <x:c r="AE162" s="92"/>
      <x:c r="AF162" s="92"/>
      <x:c r="AG162" s="92"/>
      <x:c r="AH162" s="92"/>
      <x:c r="AI162" s="92"/>
      <x:c r="AJ162" s="92"/>
      <x:c r="AK162" s="94" t="str">
        <x:f>IF(B162="","",SUM(AG162:AJ162))</x:f>
      </x:c>
      <x:c r="AL162" s="84" t="n">
        <x:f>IFERROR(AK162/AD162,0)</x:f>
        <x:v>0</x:v>
      </x:c>
      <x:c r="AM162" s="92"/>
      <x:c r="AN162" s="92"/>
      <x:c r="AO162" s="92"/>
      <x:c r="AP162" s="92"/>
      <x:c r="AQ162" s="25"/>
      <x:c r="AR162" s="25"/>
      <x:c r="AS162" s="86"/>
      <x:c r="AT162" s="86"/>
      <x:c r="AU162" s="86"/>
      <x:c r="AV162" s="90"/>
      <x:c r="AW162" s="86"/>
      <x:c r="AX162" s="88" t="str">
        <x:f>IF(B162="","",AV162*'Paramètres'!$B$4+AW162)</x:f>
      </x:c>
      <x:c r="AY162" s="25"/>
      <x:c r="AZ162" s="25"/>
      <x:c r="BA162" s="25"/>
    </x:row>
    <x:row r="163">
      <x:c r="A163" s="78" t="str">
        <x:f>IF(B163="","",ROW()-5)</x:f>
      </x:c>
      <x:c r="B163" s="80"/>
      <x:c r="C163" s="78" t="str">
        <x:f>IF(B163="","",YEAR(B163))</x:f>
      </x:c>
      <x:c r="D163" s="78" t="str">
        <x:f>IF(B163="","",CHOOSE(MONTH(B163),"Janvier","Février","Mars","Avril","Mai","Juin","Juillet","Août","Septembre","Octobre","Novembre","Décembre"))</x:f>
      </x:c>
      <x:c r="E163" s="78" t="str">
        <x:f>IF(B163="","",WEEKNUM(B163,2))</x:f>
      </x:c>
      <x:c r="F163" s="78" t="str">
        <x:f>IF(B163="","",CHOOSE(WEEKDAY(B163,2),"Lundi","Mardi","Mercredi","Jeudi","Vendredi","Samedi","Dimanche"))</x:f>
      </x:c>
      <x:c r="G163" s="82"/>
      <x:c r="H163" s="78" t="str">
        <x:f>IF(G163="","",IF(G163&lt;TIME(11,0,0),"Matin",IF(G163&lt;TIME(15,0,0),"Midi",IF(G163&lt;TIME(18,0,0),"Après-midi","Soir"))))</x:f>
      </x:c>
      <x:c r="I163" s="25"/>
      <x:c r="J163" s="25"/>
      <x:c r="K163" s="25"/>
      <x:c r="L163" s="25"/>
      <x:c r="M163" s="25"/>
      <x:c r="N163" s="25"/>
      <x:c r="O163" s="80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  <x:c r="AA163" s="25"/>
      <x:c r="AB163" s="25"/>
      <x:c r="AC163" s="92"/>
      <x:c r="AD163" s="92"/>
      <x:c r="AE163" s="92"/>
      <x:c r="AF163" s="92"/>
      <x:c r="AG163" s="92"/>
      <x:c r="AH163" s="92"/>
      <x:c r="AI163" s="92"/>
      <x:c r="AJ163" s="92"/>
      <x:c r="AK163" s="94" t="str">
        <x:f>IF(B163="","",SUM(AG163:AJ163))</x:f>
      </x:c>
      <x:c r="AL163" s="84" t="n">
        <x:f>IFERROR(AK163/AD163,0)</x:f>
        <x:v>0</x:v>
      </x:c>
      <x:c r="AM163" s="92"/>
      <x:c r="AN163" s="92"/>
      <x:c r="AO163" s="92"/>
      <x:c r="AP163" s="92"/>
      <x:c r="AQ163" s="25"/>
      <x:c r="AR163" s="25"/>
      <x:c r="AS163" s="86"/>
      <x:c r="AT163" s="86"/>
      <x:c r="AU163" s="86"/>
      <x:c r="AV163" s="90"/>
      <x:c r="AW163" s="86"/>
      <x:c r="AX163" s="88" t="str">
        <x:f>IF(B163="","",AV163*'Paramètres'!$B$4+AW163)</x:f>
      </x:c>
      <x:c r="AY163" s="25"/>
      <x:c r="AZ163" s="25"/>
      <x:c r="BA163" s="25"/>
    </x:row>
    <x:row r="164">
      <x:c r="A164" s="78" t="str">
        <x:f>IF(B164="","",ROW()-5)</x:f>
      </x:c>
      <x:c r="B164" s="80"/>
      <x:c r="C164" s="78" t="str">
        <x:f>IF(B164="","",YEAR(B164))</x:f>
      </x:c>
      <x:c r="D164" s="78" t="str">
        <x:f>IF(B164="","",CHOOSE(MONTH(B164),"Janvier","Février","Mars","Avril","Mai","Juin","Juillet","Août","Septembre","Octobre","Novembre","Décembre"))</x:f>
      </x:c>
      <x:c r="E164" s="78" t="str">
        <x:f>IF(B164="","",WEEKNUM(B164,2))</x:f>
      </x:c>
      <x:c r="F164" s="78" t="str">
        <x:f>IF(B164="","",CHOOSE(WEEKDAY(B164,2),"Lundi","Mardi","Mercredi","Jeudi","Vendredi","Samedi","Dimanche"))</x:f>
      </x:c>
      <x:c r="G164" s="82"/>
      <x:c r="H164" s="78" t="str">
        <x:f>IF(G164="","",IF(G164&lt;TIME(11,0,0),"Matin",IF(G164&lt;TIME(15,0,0),"Midi",IF(G164&lt;TIME(18,0,0),"Après-midi","Soir"))))</x:f>
      </x:c>
      <x:c r="I164" s="25"/>
      <x:c r="J164" s="25"/>
      <x:c r="K164" s="25"/>
      <x:c r="L164" s="25"/>
      <x:c r="M164" s="25"/>
      <x:c r="N164" s="25"/>
      <x:c r="O164" s="80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  <x:c r="AA164" s="25"/>
      <x:c r="AB164" s="25"/>
      <x:c r="AC164" s="92"/>
      <x:c r="AD164" s="92"/>
      <x:c r="AE164" s="92"/>
      <x:c r="AF164" s="92"/>
      <x:c r="AG164" s="92"/>
      <x:c r="AH164" s="92"/>
      <x:c r="AI164" s="92"/>
      <x:c r="AJ164" s="92"/>
      <x:c r="AK164" s="94" t="str">
        <x:f>IF(B164="","",SUM(AG164:AJ164))</x:f>
      </x:c>
      <x:c r="AL164" s="84" t="n">
        <x:f>IFERROR(AK164/AD164,0)</x:f>
        <x:v>0</x:v>
      </x:c>
      <x:c r="AM164" s="92"/>
      <x:c r="AN164" s="92"/>
      <x:c r="AO164" s="92"/>
      <x:c r="AP164" s="92"/>
      <x:c r="AQ164" s="25"/>
      <x:c r="AR164" s="25"/>
      <x:c r="AS164" s="86"/>
      <x:c r="AT164" s="86"/>
      <x:c r="AU164" s="86"/>
      <x:c r="AV164" s="90"/>
      <x:c r="AW164" s="86"/>
      <x:c r="AX164" s="88" t="str">
        <x:f>IF(B164="","",AV164*'Paramètres'!$B$4+AW164)</x:f>
      </x:c>
      <x:c r="AY164" s="25"/>
      <x:c r="AZ164" s="25"/>
      <x:c r="BA164" s="25"/>
    </x:row>
    <x:row r="165">
      <x:c r="A165" s="78" t="str">
        <x:f>IF(B165="","",ROW()-5)</x:f>
      </x:c>
      <x:c r="B165" s="80"/>
      <x:c r="C165" s="78" t="str">
        <x:f>IF(B165="","",YEAR(B165))</x:f>
      </x:c>
      <x:c r="D165" s="78" t="str">
        <x:f>IF(B165="","",CHOOSE(MONTH(B165),"Janvier","Février","Mars","Avril","Mai","Juin","Juillet","Août","Septembre","Octobre","Novembre","Décembre"))</x:f>
      </x:c>
      <x:c r="E165" s="78" t="str">
        <x:f>IF(B165="","",WEEKNUM(B165,2))</x:f>
      </x:c>
      <x:c r="F165" s="78" t="str">
        <x:f>IF(B165="","",CHOOSE(WEEKDAY(B165,2),"Lundi","Mardi","Mercredi","Jeudi","Vendredi","Samedi","Dimanche"))</x:f>
      </x:c>
      <x:c r="G165" s="82"/>
      <x:c r="H165" s="78" t="str">
        <x:f>IF(G165="","",IF(G165&lt;TIME(11,0,0),"Matin",IF(G165&lt;TIME(15,0,0),"Midi",IF(G165&lt;TIME(18,0,0),"Après-midi","Soir"))))</x:f>
      </x:c>
      <x:c r="I165" s="25"/>
      <x:c r="J165" s="25"/>
      <x:c r="K165" s="25"/>
      <x:c r="L165" s="25"/>
      <x:c r="M165" s="25"/>
      <x:c r="N165" s="25"/>
      <x:c r="O165" s="80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  <x:c r="AA165" s="25"/>
      <x:c r="AB165" s="25"/>
      <x:c r="AC165" s="92"/>
      <x:c r="AD165" s="92"/>
      <x:c r="AE165" s="92"/>
      <x:c r="AF165" s="92"/>
      <x:c r="AG165" s="92"/>
      <x:c r="AH165" s="92"/>
      <x:c r="AI165" s="92"/>
      <x:c r="AJ165" s="92"/>
      <x:c r="AK165" s="94" t="str">
        <x:f>IF(B165="","",SUM(AG165:AJ165))</x:f>
      </x:c>
      <x:c r="AL165" s="84" t="n">
        <x:f>IFERROR(AK165/AD165,0)</x:f>
        <x:v>0</x:v>
      </x:c>
      <x:c r="AM165" s="92"/>
      <x:c r="AN165" s="92"/>
      <x:c r="AO165" s="92"/>
      <x:c r="AP165" s="92"/>
      <x:c r="AQ165" s="25"/>
      <x:c r="AR165" s="25"/>
      <x:c r="AS165" s="86"/>
      <x:c r="AT165" s="86"/>
      <x:c r="AU165" s="86"/>
      <x:c r="AV165" s="90"/>
      <x:c r="AW165" s="86"/>
      <x:c r="AX165" s="88" t="str">
        <x:f>IF(B165="","",AV165*'Paramètres'!$B$4+AW165)</x:f>
      </x:c>
      <x:c r="AY165" s="25"/>
      <x:c r="AZ165" s="25"/>
      <x:c r="BA165" s="25"/>
    </x:row>
    <x:row r="166">
      <x:c r="A166" s="78" t="str">
        <x:f>IF(B166="","",ROW()-5)</x:f>
      </x:c>
      <x:c r="B166" s="80"/>
      <x:c r="C166" s="78" t="str">
        <x:f>IF(B166="","",YEAR(B166))</x:f>
      </x:c>
      <x:c r="D166" s="78" t="str">
        <x:f>IF(B166="","",CHOOSE(MONTH(B166),"Janvier","Février","Mars","Avril","Mai","Juin","Juillet","Août","Septembre","Octobre","Novembre","Décembre"))</x:f>
      </x:c>
      <x:c r="E166" s="78" t="str">
        <x:f>IF(B166="","",WEEKNUM(B166,2))</x:f>
      </x:c>
      <x:c r="F166" s="78" t="str">
        <x:f>IF(B166="","",CHOOSE(WEEKDAY(B166,2),"Lundi","Mardi","Mercredi","Jeudi","Vendredi","Samedi","Dimanche"))</x:f>
      </x:c>
      <x:c r="G166" s="82"/>
      <x:c r="H166" s="78" t="str">
        <x:f>IF(G166="","",IF(G166&lt;TIME(11,0,0),"Matin",IF(G166&lt;TIME(15,0,0),"Midi",IF(G166&lt;TIME(18,0,0),"Après-midi","Soir"))))</x:f>
      </x:c>
      <x:c r="I166" s="25"/>
      <x:c r="J166" s="25"/>
      <x:c r="K166" s="25"/>
      <x:c r="L166" s="25"/>
      <x:c r="M166" s="25"/>
      <x:c r="N166" s="25"/>
      <x:c r="O166" s="80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  <x:c r="AA166" s="25"/>
      <x:c r="AB166" s="25"/>
      <x:c r="AC166" s="92"/>
      <x:c r="AD166" s="92"/>
      <x:c r="AE166" s="92"/>
      <x:c r="AF166" s="92"/>
      <x:c r="AG166" s="92"/>
      <x:c r="AH166" s="92"/>
      <x:c r="AI166" s="92"/>
      <x:c r="AJ166" s="92"/>
      <x:c r="AK166" s="94" t="str">
        <x:f>IF(B166="","",SUM(AG166:AJ166))</x:f>
      </x:c>
      <x:c r="AL166" s="84" t="n">
        <x:f>IFERROR(AK166/AD166,0)</x:f>
        <x:v>0</x:v>
      </x:c>
      <x:c r="AM166" s="92"/>
      <x:c r="AN166" s="92"/>
      <x:c r="AO166" s="92"/>
      <x:c r="AP166" s="92"/>
      <x:c r="AQ166" s="25"/>
      <x:c r="AR166" s="25"/>
      <x:c r="AS166" s="86"/>
      <x:c r="AT166" s="86"/>
      <x:c r="AU166" s="86"/>
      <x:c r="AV166" s="90"/>
      <x:c r="AW166" s="86"/>
      <x:c r="AX166" s="88" t="str">
        <x:f>IF(B166="","",AV166*'Paramètres'!$B$4+AW166)</x:f>
      </x:c>
      <x:c r="AY166" s="25"/>
      <x:c r="AZ166" s="25"/>
      <x:c r="BA166" s="25"/>
    </x:row>
    <x:row r="167">
      <x:c r="A167" s="78" t="str">
        <x:f>IF(B167="","",ROW()-5)</x:f>
      </x:c>
      <x:c r="B167" s="80"/>
      <x:c r="C167" s="78" t="str">
        <x:f>IF(B167="","",YEAR(B167))</x:f>
      </x:c>
      <x:c r="D167" s="78" t="str">
        <x:f>IF(B167="","",CHOOSE(MONTH(B167),"Janvier","Février","Mars","Avril","Mai","Juin","Juillet","Août","Septembre","Octobre","Novembre","Décembre"))</x:f>
      </x:c>
      <x:c r="E167" s="78" t="str">
        <x:f>IF(B167="","",WEEKNUM(B167,2))</x:f>
      </x:c>
      <x:c r="F167" s="78" t="str">
        <x:f>IF(B167="","",CHOOSE(WEEKDAY(B167,2),"Lundi","Mardi","Mercredi","Jeudi","Vendredi","Samedi","Dimanche"))</x:f>
      </x:c>
      <x:c r="G167" s="82"/>
      <x:c r="H167" s="78" t="str">
        <x:f>IF(G167="","",IF(G167&lt;TIME(11,0,0),"Matin",IF(G167&lt;TIME(15,0,0),"Midi",IF(G167&lt;TIME(18,0,0),"Après-midi","Soir"))))</x:f>
      </x:c>
      <x:c r="I167" s="25"/>
      <x:c r="J167" s="25"/>
      <x:c r="K167" s="25"/>
      <x:c r="L167" s="25"/>
      <x:c r="M167" s="25"/>
      <x:c r="N167" s="25"/>
      <x:c r="O167" s="80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  <x:c r="AA167" s="25"/>
      <x:c r="AB167" s="25"/>
      <x:c r="AC167" s="92"/>
      <x:c r="AD167" s="92"/>
      <x:c r="AE167" s="92"/>
      <x:c r="AF167" s="92"/>
      <x:c r="AG167" s="92"/>
      <x:c r="AH167" s="92"/>
      <x:c r="AI167" s="92"/>
      <x:c r="AJ167" s="92"/>
      <x:c r="AK167" s="94" t="str">
        <x:f>IF(B167="","",SUM(AG167:AJ167))</x:f>
      </x:c>
      <x:c r="AL167" s="84" t="n">
        <x:f>IFERROR(AK167/AD167,0)</x:f>
        <x:v>0</x:v>
      </x:c>
      <x:c r="AM167" s="92"/>
      <x:c r="AN167" s="92"/>
      <x:c r="AO167" s="92"/>
      <x:c r="AP167" s="92"/>
      <x:c r="AQ167" s="25"/>
      <x:c r="AR167" s="25"/>
      <x:c r="AS167" s="86"/>
      <x:c r="AT167" s="86"/>
      <x:c r="AU167" s="86"/>
      <x:c r="AV167" s="90"/>
      <x:c r="AW167" s="86"/>
      <x:c r="AX167" s="88" t="str">
        <x:f>IF(B167="","",AV167*'Paramètres'!$B$4+AW167)</x:f>
      </x:c>
      <x:c r="AY167" s="25"/>
      <x:c r="AZ167" s="25"/>
      <x:c r="BA167" s="25"/>
    </x:row>
    <x:row r="168">
      <x:c r="A168" s="78" t="str">
        <x:f>IF(B168="","",ROW()-5)</x:f>
      </x:c>
      <x:c r="B168" s="80"/>
      <x:c r="C168" s="78" t="str">
        <x:f>IF(B168="","",YEAR(B168))</x:f>
      </x:c>
      <x:c r="D168" s="78" t="str">
        <x:f>IF(B168="","",CHOOSE(MONTH(B168),"Janvier","Février","Mars","Avril","Mai","Juin","Juillet","Août","Septembre","Octobre","Novembre","Décembre"))</x:f>
      </x:c>
      <x:c r="E168" s="78" t="str">
        <x:f>IF(B168="","",WEEKNUM(B168,2))</x:f>
      </x:c>
      <x:c r="F168" s="78" t="str">
        <x:f>IF(B168="","",CHOOSE(WEEKDAY(B168,2),"Lundi","Mardi","Mercredi","Jeudi","Vendredi","Samedi","Dimanche"))</x:f>
      </x:c>
      <x:c r="G168" s="82"/>
      <x:c r="H168" s="78" t="str">
        <x:f>IF(G168="","",IF(G168&lt;TIME(11,0,0),"Matin",IF(G168&lt;TIME(15,0,0),"Midi",IF(G168&lt;TIME(18,0,0),"Après-midi","Soir"))))</x:f>
      </x:c>
      <x:c r="I168" s="25"/>
      <x:c r="J168" s="25"/>
      <x:c r="K168" s="25"/>
      <x:c r="L168" s="25"/>
      <x:c r="M168" s="25"/>
      <x:c r="N168" s="25"/>
      <x:c r="O168" s="80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  <x:c r="AA168" s="25"/>
      <x:c r="AB168" s="25"/>
      <x:c r="AC168" s="92"/>
      <x:c r="AD168" s="92"/>
      <x:c r="AE168" s="92"/>
      <x:c r="AF168" s="92"/>
      <x:c r="AG168" s="92"/>
      <x:c r="AH168" s="92"/>
      <x:c r="AI168" s="92"/>
      <x:c r="AJ168" s="92"/>
      <x:c r="AK168" s="94" t="str">
        <x:f>IF(B168="","",SUM(AG168:AJ168))</x:f>
      </x:c>
      <x:c r="AL168" s="84" t="n">
        <x:f>IFERROR(AK168/AD168,0)</x:f>
        <x:v>0</x:v>
      </x:c>
      <x:c r="AM168" s="92"/>
      <x:c r="AN168" s="92"/>
      <x:c r="AO168" s="92"/>
      <x:c r="AP168" s="92"/>
      <x:c r="AQ168" s="25"/>
      <x:c r="AR168" s="25"/>
      <x:c r="AS168" s="86"/>
      <x:c r="AT168" s="86"/>
      <x:c r="AU168" s="86"/>
      <x:c r="AV168" s="90"/>
      <x:c r="AW168" s="86"/>
      <x:c r="AX168" s="88" t="str">
        <x:f>IF(B168="","",AV168*'Paramètres'!$B$4+AW168)</x:f>
      </x:c>
      <x:c r="AY168" s="25"/>
      <x:c r="AZ168" s="25"/>
      <x:c r="BA168" s="25"/>
    </x:row>
    <x:row r="169">
      <x:c r="A169" s="78" t="str">
        <x:f>IF(B169="","",ROW()-5)</x:f>
      </x:c>
      <x:c r="B169" s="80"/>
      <x:c r="C169" s="78" t="str">
        <x:f>IF(B169="","",YEAR(B169))</x:f>
      </x:c>
      <x:c r="D169" s="78" t="str">
        <x:f>IF(B169="","",CHOOSE(MONTH(B169),"Janvier","Février","Mars","Avril","Mai","Juin","Juillet","Août","Septembre","Octobre","Novembre","Décembre"))</x:f>
      </x:c>
      <x:c r="E169" s="78" t="str">
        <x:f>IF(B169="","",WEEKNUM(B169,2))</x:f>
      </x:c>
      <x:c r="F169" s="78" t="str">
        <x:f>IF(B169="","",CHOOSE(WEEKDAY(B169,2),"Lundi","Mardi","Mercredi","Jeudi","Vendredi","Samedi","Dimanche"))</x:f>
      </x:c>
      <x:c r="G169" s="82"/>
      <x:c r="H169" s="78" t="str">
        <x:f>IF(G169="","",IF(G169&lt;TIME(11,0,0),"Matin",IF(G169&lt;TIME(15,0,0),"Midi",IF(G169&lt;TIME(18,0,0),"Après-midi","Soir"))))</x:f>
      </x:c>
      <x:c r="I169" s="25"/>
      <x:c r="J169" s="25"/>
      <x:c r="K169" s="25"/>
      <x:c r="L169" s="25"/>
      <x:c r="M169" s="25"/>
      <x:c r="N169" s="25"/>
      <x:c r="O169" s="80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  <x:c r="AA169" s="25"/>
      <x:c r="AB169" s="25"/>
      <x:c r="AC169" s="92"/>
      <x:c r="AD169" s="92"/>
      <x:c r="AE169" s="92"/>
      <x:c r="AF169" s="92"/>
      <x:c r="AG169" s="92"/>
      <x:c r="AH169" s="92"/>
      <x:c r="AI169" s="92"/>
      <x:c r="AJ169" s="92"/>
      <x:c r="AK169" s="94" t="str">
        <x:f>IF(B169="","",SUM(AG169:AJ169))</x:f>
      </x:c>
      <x:c r="AL169" s="84" t="n">
        <x:f>IFERROR(AK169/AD169,0)</x:f>
        <x:v>0</x:v>
      </x:c>
      <x:c r="AM169" s="92"/>
      <x:c r="AN169" s="92"/>
      <x:c r="AO169" s="92"/>
      <x:c r="AP169" s="92"/>
      <x:c r="AQ169" s="25"/>
      <x:c r="AR169" s="25"/>
      <x:c r="AS169" s="86"/>
      <x:c r="AT169" s="86"/>
      <x:c r="AU169" s="86"/>
      <x:c r="AV169" s="90"/>
      <x:c r="AW169" s="86"/>
      <x:c r="AX169" s="88" t="str">
        <x:f>IF(B169="","",AV169*'Paramètres'!$B$4+AW169)</x:f>
      </x:c>
      <x:c r="AY169" s="25"/>
      <x:c r="AZ169" s="25"/>
      <x:c r="BA169" s="25"/>
    </x:row>
    <x:row r="170">
      <x:c r="A170" s="78" t="str">
        <x:f>IF(B170="","",ROW()-5)</x:f>
      </x:c>
      <x:c r="B170" s="80"/>
      <x:c r="C170" s="78" t="str">
        <x:f>IF(B170="","",YEAR(B170))</x:f>
      </x:c>
      <x:c r="D170" s="78" t="str">
        <x:f>IF(B170="","",CHOOSE(MONTH(B170),"Janvier","Février","Mars","Avril","Mai","Juin","Juillet","Août","Septembre","Octobre","Novembre","Décembre"))</x:f>
      </x:c>
      <x:c r="E170" s="78" t="str">
        <x:f>IF(B170="","",WEEKNUM(B170,2))</x:f>
      </x:c>
      <x:c r="F170" s="78" t="str">
        <x:f>IF(B170="","",CHOOSE(WEEKDAY(B170,2),"Lundi","Mardi","Mercredi","Jeudi","Vendredi","Samedi","Dimanche"))</x:f>
      </x:c>
      <x:c r="G170" s="82"/>
      <x:c r="H170" s="78" t="str">
        <x:f>IF(G170="","",IF(G170&lt;TIME(11,0,0),"Matin",IF(G170&lt;TIME(15,0,0),"Midi",IF(G170&lt;TIME(18,0,0),"Après-midi","Soir"))))</x:f>
      </x:c>
      <x:c r="I170" s="25"/>
      <x:c r="J170" s="25"/>
      <x:c r="K170" s="25"/>
      <x:c r="L170" s="25"/>
      <x:c r="M170" s="25"/>
      <x:c r="N170" s="25"/>
      <x:c r="O170" s="80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  <x:c r="AA170" s="25"/>
      <x:c r="AB170" s="25"/>
      <x:c r="AC170" s="92"/>
      <x:c r="AD170" s="92"/>
      <x:c r="AE170" s="92"/>
      <x:c r="AF170" s="92"/>
      <x:c r="AG170" s="92"/>
      <x:c r="AH170" s="92"/>
      <x:c r="AI170" s="92"/>
      <x:c r="AJ170" s="92"/>
      <x:c r="AK170" s="94" t="str">
        <x:f>IF(B170="","",SUM(AG170:AJ170))</x:f>
      </x:c>
      <x:c r="AL170" s="84" t="n">
        <x:f>IFERROR(AK170/AD170,0)</x:f>
        <x:v>0</x:v>
      </x:c>
      <x:c r="AM170" s="92"/>
      <x:c r="AN170" s="92"/>
      <x:c r="AO170" s="92"/>
      <x:c r="AP170" s="92"/>
      <x:c r="AQ170" s="25"/>
      <x:c r="AR170" s="25"/>
      <x:c r="AS170" s="86"/>
      <x:c r="AT170" s="86"/>
      <x:c r="AU170" s="86"/>
      <x:c r="AV170" s="90"/>
      <x:c r="AW170" s="86"/>
      <x:c r="AX170" s="88" t="str">
        <x:f>IF(B170="","",AV170*'Paramètres'!$B$4+AW170)</x:f>
      </x:c>
      <x:c r="AY170" s="25"/>
      <x:c r="AZ170" s="25"/>
      <x:c r="BA170" s="25"/>
    </x:row>
    <x:row r="171">
      <x:c r="A171" s="78" t="str">
        <x:f>IF(B171="","",ROW()-5)</x:f>
      </x:c>
      <x:c r="B171" s="80"/>
      <x:c r="C171" s="78" t="str">
        <x:f>IF(B171="","",YEAR(B171))</x:f>
      </x:c>
      <x:c r="D171" s="78" t="str">
        <x:f>IF(B171="","",CHOOSE(MONTH(B171),"Janvier","Février","Mars","Avril","Mai","Juin","Juillet","Août","Septembre","Octobre","Novembre","Décembre"))</x:f>
      </x:c>
      <x:c r="E171" s="78" t="str">
        <x:f>IF(B171="","",WEEKNUM(B171,2))</x:f>
      </x:c>
      <x:c r="F171" s="78" t="str">
        <x:f>IF(B171="","",CHOOSE(WEEKDAY(B171,2),"Lundi","Mardi","Mercredi","Jeudi","Vendredi","Samedi","Dimanche"))</x:f>
      </x:c>
      <x:c r="G171" s="82"/>
      <x:c r="H171" s="78" t="str">
        <x:f>IF(G171="","",IF(G171&lt;TIME(11,0,0),"Matin",IF(G171&lt;TIME(15,0,0),"Midi",IF(G171&lt;TIME(18,0,0),"Après-midi","Soir"))))</x:f>
      </x:c>
      <x:c r="I171" s="25"/>
      <x:c r="J171" s="25"/>
      <x:c r="K171" s="25"/>
      <x:c r="L171" s="25"/>
      <x:c r="M171" s="25"/>
      <x:c r="N171" s="25"/>
      <x:c r="O171" s="80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  <x:c r="AA171" s="25"/>
      <x:c r="AB171" s="25"/>
      <x:c r="AC171" s="92"/>
      <x:c r="AD171" s="92"/>
      <x:c r="AE171" s="92"/>
      <x:c r="AF171" s="92"/>
      <x:c r="AG171" s="92"/>
      <x:c r="AH171" s="92"/>
      <x:c r="AI171" s="92"/>
      <x:c r="AJ171" s="92"/>
      <x:c r="AK171" s="94" t="str">
        <x:f>IF(B171="","",SUM(AG171:AJ171))</x:f>
      </x:c>
      <x:c r="AL171" s="84" t="n">
        <x:f>IFERROR(AK171/AD171,0)</x:f>
        <x:v>0</x:v>
      </x:c>
      <x:c r="AM171" s="92"/>
      <x:c r="AN171" s="92"/>
      <x:c r="AO171" s="92"/>
      <x:c r="AP171" s="92"/>
      <x:c r="AQ171" s="25"/>
      <x:c r="AR171" s="25"/>
      <x:c r="AS171" s="86"/>
      <x:c r="AT171" s="86"/>
      <x:c r="AU171" s="86"/>
      <x:c r="AV171" s="90"/>
      <x:c r="AW171" s="86"/>
      <x:c r="AX171" s="88" t="str">
        <x:f>IF(B171="","",AV171*'Paramètres'!$B$4+AW171)</x:f>
      </x:c>
      <x:c r="AY171" s="25"/>
      <x:c r="AZ171" s="25"/>
      <x:c r="BA171" s="25"/>
    </x:row>
    <x:row r="172">
      <x:c r="A172" s="78" t="str">
        <x:f>IF(B172="","",ROW()-5)</x:f>
      </x:c>
      <x:c r="B172" s="80"/>
      <x:c r="C172" s="78" t="str">
        <x:f>IF(B172="","",YEAR(B172))</x:f>
      </x:c>
      <x:c r="D172" s="78" t="str">
        <x:f>IF(B172="","",CHOOSE(MONTH(B172),"Janvier","Février","Mars","Avril","Mai","Juin","Juillet","Août","Septembre","Octobre","Novembre","Décembre"))</x:f>
      </x:c>
      <x:c r="E172" s="78" t="str">
        <x:f>IF(B172="","",WEEKNUM(B172,2))</x:f>
      </x:c>
      <x:c r="F172" s="78" t="str">
        <x:f>IF(B172="","",CHOOSE(WEEKDAY(B172,2),"Lundi","Mardi","Mercredi","Jeudi","Vendredi","Samedi","Dimanche"))</x:f>
      </x:c>
      <x:c r="G172" s="82"/>
      <x:c r="H172" s="78" t="str">
        <x:f>IF(G172="","",IF(G172&lt;TIME(11,0,0),"Matin",IF(G172&lt;TIME(15,0,0),"Midi",IF(G172&lt;TIME(18,0,0),"Après-midi","Soir"))))</x:f>
      </x:c>
      <x:c r="I172" s="25"/>
      <x:c r="J172" s="25"/>
      <x:c r="K172" s="25"/>
      <x:c r="L172" s="25"/>
      <x:c r="M172" s="25"/>
      <x:c r="N172" s="25"/>
      <x:c r="O172" s="80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  <x:c r="AA172" s="25"/>
      <x:c r="AB172" s="25"/>
      <x:c r="AC172" s="92"/>
      <x:c r="AD172" s="92"/>
      <x:c r="AE172" s="92"/>
      <x:c r="AF172" s="92"/>
      <x:c r="AG172" s="92"/>
      <x:c r="AH172" s="92"/>
      <x:c r="AI172" s="92"/>
      <x:c r="AJ172" s="92"/>
      <x:c r="AK172" s="94" t="str">
        <x:f>IF(B172="","",SUM(AG172:AJ172))</x:f>
      </x:c>
      <x:c r="AL172" s="84" t="n">
        <x:f>IFERROR(AK172/AD172,0)</x:f>
        <x:v>0</x:v>
      </x:c>
      <x:c r="AM172" s="92"/>
      <x:c r="AN172" s="92"/>
      <x:c r="AO172" s="92"/>
      <x:c r="AP172" s="92"/>
      <x:c r="AQ172" s="25"/>
      <x:c r="AR172" s="25"/>
      <x:c r="AS172" s="86"/>
      <x:c r="AT172" s="86"/>
      <x:c r="AU172" s="86"/>
      <x:c r="AV172" s="90"/>
      <x:c r="AW172" s="86"/>
      <x:c r="AX172" s="88" t="str">
        <x:f>IF(B172="","",AV172*'Paramètres'!$B$4+AW172)</x:f>
      </x:c>
      <x:c r="AY172" s="25"/>
      <x:c r="AZ172" s="25"/>
      <x:c r="BA172" s="25"/>
    </x:row>
    <x:row r="173">
      <x:c r="A173" s="78" t="str">
        <x:f>IF(B173="","",ROW()-5)</x:f>
      </x:c>
      <x:c r="B173" s="80"/>
      <x:c r="C173" s="78" t="str">
        <x:f>IF(B173="","",YEAR(B173))</x:f>
      </x:c>
      <x:c r="D173" s="78" t="str">
        <x:f>IF(B173="","",CHOOSE(MONTH(B173),"Janvier","Février","Mars","Avril","Mai","Juin","Juillet","Août","Septembre","Octobre","Novembre","Décembre"))</x:f>
      </x:c>
      <x:c r="E173" s="78" t="str">
        <x:f>IF(B173="","",WEEKNUM(B173,2))</x:f>
      </x:c>
      <x:c r="F173" s="78" t="str">
        <x:f>IF(B173="","",CHOOSE(WEEKDAY(B173,2),"Lundi","Mardi","Mercredi","Jeudi","Vendredi","Samedi","Dimanche"))</x:f>
      </x:c>
      <x:c r="G173" s="82"/>
      <x:c r="H173" s="78" t="str">
        <x:f>IF(G173="","",IF(G173&lt;TIME(11,0,0),"Matin",IF(G173&lt;TIME(15,0,0),"Midi",IF(G173&lt;TIME(18,0,0),"Après-midi","Soir"))))</x:f>
      </x:c>
      <x:c r="I173" s="25"/>
      <x:c r="J173" s="25"/>
      <x:c r="K173" s="25"/>
      <x:c r="L173" s="25"/>
      <x:c r="M173" s="25"/>
      <x:c r="N173" s="25"/>
      <x:c r="O173" s="80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  <x:c r="AA173" s="25"/>
      <x:c r="AB173" s="25"/>
      <x:c r="AC173" s="92"/>
      <x:c r="AD173" s="92"/>
      <x:c r="AE173" s="92"/>
      <x:c r="AF173" s="92"/>
      <x:c r="AG173" s="92"/>
      <x:c r="AH173" s="92"/>
      <x:c r="AI173" s="92"/>
      <x:c r="AJ173" s="92"/>
      <x:c r="AK173" s="94" t="str">
        <x:f>IF(B173="","",SUM(AG173:AJ173))</x:f>
      </x:c>
      <x:c r="AL173" s="84" t="n">
        <x:f>IFERROR(AK173/AD173,0)</x:f>
        <x:v>0</x:v>
      </x:c>
      <x:c r="AM173" s="92"/>
      <x:c r="AN173" s="92"/>
      <x:c r="AO173" s="92"/>
      <x:c r="AP173" s="92"/>
      <x:c r="AQ173" s="25"/>
      <x:c r="AR173" s="25"/>
      <x:c r="AS173" s="86"/>
      <x:c r="AT173" s="86"/>
      <x:c r="AU173" s="86"/>
      <x:c r="AV173" s="90"/>
      <x:c r="AW173" s="86"/>
      <x:c r="AX173" s="88" t="str">
        <x:f>IF(B173="","",AV173*'Paramètres'!$B$4+AW173)</x:f>
      </x:c>
      <x:c r="AY173" s="25"/>
      <x:c r="AZ173" s="25"/>
      <x:c r="BA173" s="25"/>
    </x:row>
    <x:row r="174">
      <x:c r="A174" s="78" t="str">
        <x:f>IF(B174="","",ROW()-5)</x:f>
      </x:c>
      <x:c r="B174" s="80"/>
      <x:c r="C174" s="78" t="str">
        <x:f>IF(B174="","",YEAR(B174))</x:f>
      </x:c>
      <x:c r="D174" s="78" t="str">
        <x:f>IF(B174="","",CHOOSE(MONTH(B174),"Janvier","Février","Mars","Avril","Mai","Juin","Juillet","Août","Septembre","Octobre","Novembre","Décembre"))</x:f>
      </x:c>
      <x:c r="E174" s="78" t="str">
        <x:f>IF(B174="","",WEEKNUM(B174,2))</x:f>
      </x:c>
      <x:c r="F174" s="78" t="str">
        <x:f>IF(B174="","",CHOOSE(WEEKDAY(B174,2),"Lundi","Mardi","Mercredi","Jeudi","Vendredi","Samedi","Dimanche"))</x:f>
      </x:c>
      <x:c r="G174" s="82"/>
      <x:c r="H174" s="78" t="str">
        <x:f>IF(G174="","",IF(G174&lt;TIME(11,0,0),"Matin",IF(G174&lt;TIME(15,0,0),"Midi",IF(G174&lt;TIME(18,0,0),"Après-midi","Soir"))))</x:f>
      </x:c>
      <x:c r="I174" s="25"/>
      <x:c r="J174" s="25"/>
      <x:c r="K174" s="25"/>
      <x:c r="L174" s="25"/>
      <x:c r="M174" s="25"/>
      <x:c r="N174" s="25"/>
      <x:c r="O174" s="80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  <x:c r="AA174" s="25"/>
      <x:c r="AB174" s="25"/>
      <x:c r="AC174" s="92"/>
      <x:c r="AD174" s="92"/>
      <x:c r="AE174" s="92"/>
      <x:c r="AF174" s="92"/>
      <x:c r="AG174" s="92"/>
      <x:c r="AH174" s="92"/>
      <x:c r="AI174" s="92"/>
      <x:c r="AJ174" s="92"/>
      <x:c r="AK174" s="94" t="str">
        <x:f>IF(B174="","",SUM(AG174:AJ174))</x:f>
      </x:c>
      <x:c r="AL174" s="84" t="n">
        <x:f>IFERROR(AK174/AD174,0)</x:f>
        <x:v>0</x:v>
      </x:c>
      <x:c r="AM174" s="92"/>
      <x:c r="AN174" s="92"/>
      <x:c r="AO174" s="92"/>
      <x:c r="AP174" s="92"/>
      <x:c r="AQ174" s="25"/>
      <x:c r="AR174" s="25"/>
      <x:c r="AS174" s="86"/>
      <x:c r="AT174" s="86"/>
      <x:c r="AU174" s="86"/>
      <x:c r="AV174" s="90"/>
      <x:c r="AW174" s="86"/>
      <x:c r="AX174" s="88" t="str">
        <x:f>IF(B174="","",AV174*'Paramètres'!$B$4+AW174)</x:f>
      </x:c>
      <x:c r="AY174" s="25"/>
      <x:c r="AZ174" s="25"/>
      <x:c r="BA174" s="25"/>
    </x:row>
    <x:row r="175">
      <x:c r="A175" s="78" t="str">
        <x:f>IF(B175="","",ROW()-5)</x:f>
      </x:c>
      <x:c r="B175" s="80"/>
      <x:c r="C175" s="78" t="str">
        <x:f>IF(B175="","",YEAR(B175))</x:f>
      </x:c>
      <x:c r="D175" s="78" t="str">
        <x:f>IF(B175="","",CHOOSE(MONTH(B175),"Janvier","Février","Mars","Avril","Mai","Juin","Juillet","Août","Septembre","Octobre","Novembre","Décembre"))</x:f>
      </x:c>
      <x:c r="E175" s="78" t="str">
        <x:f>IF(B175="","",WEEKNUM(B175,2))</x:f>
      </x:c>
      <x:c r="F175" s="78" t="str">
        <x:f>IF(B175="","",CHOOSE(WEEKDAY(B175,2),"Lundi","Mardi","Mercredi","Jeudi","Vendredi","Samedi","Dimanche"))</x:f>
      </x:c>
      <x:c r="G175" s="82"/>
      <x:c r="H175" s="78" t="str">
        <x:f>IF(G175="","",IF(G175&lt;TIME(11,0,0),"Matin",IF(G175&lt;TIME(15,0,0),"Midi",IF(G175&lt;TIME(18,0,0),"Après-midi","Soir"))))</x:f>
      </x:c>
      <x:c r="I175" s="25"/>
      <x:c r="J175" s="25"/>
      <x:c r="K175" s="25"/>
      <x:c r="L175" s="25"/>
      <x:c r="M175" s="25"/>
      <x:c r="N175" s="25"/>
      <x:c r="O175" s="80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  <x:c r="AA175" s="25"/>
      <x:c r="AB175" s="25"/>
      <x:c r="AC175" s="92"/>
      <x:c r="AD175" s="92"/>
      <x:c r="AE175" s="92"/>
      <x:c r="AF175" s="92"/>
      <x:c r="AG175" s="92"/>
      <x:c r="AH175" s="92"/>
      <x:c r="AI175" s="92"/>
      <x:c r="AJ175" s="92"/>
      <x:c r="AK175" s="94" t="str">
        <x:f>IF(B175="","",SUM(AG175:AJ175))</x:f>
      </x:c>
      <x:c r="AL175" s="84" t="n">
        <x:f>IFERROR(AK175/AD175,0)</x:f>
        <x:v>0</x:v>
      </x:c>
      <x:c r="AM175" s="92"/>
      <x:c r="AN175" s="92"/>
      <x:c r="AO175" s="92"/>
      <x:c r="AP175" s="92"/>
      <x:c r="AQ175" s="25"/>
      <x:c r="AR175" s="25"/>
      <x:c r="AS175" s="86"/>
      <x:c r="AT175" s="86"/>
      <x:c r="AU175" s="86"/>
      <x:c r="AV175" s="90"/>
      <x:c r="AW175" s="86"/>
      <x:c r="AX175" s="88" t="str">
        <x:f>IF(B175="","",AV175*'Paramètres'!$B$4+AW175)</x:f>
      </x:c>
      <x:c r="AY175" s="25"/>
      <x:c r="AZ175" s="25"/>
      <x:c r="BA175" s="25"/>
    </x:row>
    <x:row r="176">
      <x:c r="A176" s="78" t="str">
        <x:f>IF(B176="","",ROW()-5)</x:f>
      </x:c>
      <x:c r="B176" s="80"/>
      <x:c r="C176" s="78" t="str">
        <x:f>IF(B176="","",YEAR(B176))</x:f>
      </x:c>
      <x:c r="D176" s="78" t="str">
        <x:f>IF(B176="","",CHOOSE(MONTH(B176),"Janvier","Février","Mars","Avril","Mai","Juin","Juillet","Août","Septembre","Octobre","Novembre","Décembre"))</x:f>
      </x:c>
      <x:c r="E176" s="78" t="str">
        <x:f>IF(B176="","",WEEKNUM(B176,2))</x:f>
      </x:c>
      <x:c r="F176" s="78" t="str">
        <x:f>IF(B176="","",CHOOSE(WEEKDAY(B176,2),"Lundi","Mardi","Mercredi","Jeudi","Vendredi","Samedi","Dimanche"))</x:f>
      </x:c>
      <x:c r="G176" s="82"/>
      <x:c r="H176" s="78" t="str">
        <x:f>IF(G176="","",IF(G176&lt;TIME(11,0,0),"Matin",IF(G176&lt;TIME(15,0,0),"Midi",IF(G176&lt;TIME(18,0,0),"Après-midi","Soir"))))</x:f>
      </x:c>
      <x:c r="I176" s="25"/>
      <x:c r="J176" s="25"/>
      <x:c r="K176" s="25"/>
      <x:c r="L176" s="25"/>
      <x:c r="M176" s="25"/>
      <x:c r="N176" s="25"/>
      <x:c r="O176" s="80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  <x:c r="AA176" s="25"/>
      <x:c r="AB176" s="25"/>
      <x:c r="AC176" s="92"/>
      <x:c r="AD176" s="92"/>
      <x:c r="AE176" s="92"/>
      <x:c r="AF176" s="92"/>
      <x:c r="AG176" s="92"/>
      <x:c r="AH176" s="92"/>
      <x:c r="AI176" s="92"/>
      <x:c r="AJ176" s="92"/>
      <x:c r="AK176" s="94" t="str">
        <x:f>IF(B176="","",SUM(AG176:AJ176))</x:f>
      </x:c>
      <x:c r="AL176" s="84" t="n">
        <x:f>IFERROR(AK176/AD176,0)</x:f>
        <x:v>0</x:v>
      </x:c>
      <x:c r="AM176" s="92"/>
      <x:c r="AN176" s="92"/>
      <x:c r="AO176" s="92"/>
      <x:c r="AP176" s="92"/>
      <x:c r="AQ176" s="25"/>
      <x:c r="AR176" s="25"/>
      <x:c r="AS176" s="86"/>
      <x:c r="AT176" s="86"/>
      <x:c r="AU176" s="86"/>
      <x:c r="AV176" s="90"/>
      <x:c r="AW176" s="86"/>
      <x:c r="AX176" s="88" t="str">
        <x:f>IF(B176="","",AV176*'Paramètres'!$B$4+AW176)</x:f>
      </x:c>
      <x:c r="AY176" s="25"/>
      <x:c r="AZ176" s="25"/>
      <x:c r="BA176" s="25"/>
    </x:row>
    <x:row r="177">
      <x:c r="A177" s="78" t="str">
        <x:f>IF(B177="","",ROW()-5)</x:f>
      </x:c>
      <x:c r="B177" s="80"/>
      <x:c r="C177" s="78" t="str">
        <x:f>IF(B177="","",YEAR(B177))</x:f>
      </x:c>
      <x:c r="D177" s="78" t="str">
        <x:f>IF(B177="","",CHOOSE(MONTH(B177),"Janvier","Février","Mars","Avril","Mai","Juin","Juillet","Août","Septembre","Octobre","Novembre","Décembre"))</x:f>
      </x:c>
      <x:c r="E177" s="78" t="str">
        <x:f>IF(B177="","",WEEKNUM(B177,2))</x:f>
      </x:c>
      <x:c r="F177" s="78" t="str">
        <x:f>IF(B177="","",CHOOSE(WEEKDAY(B177,2),"Lundi","Mardi","Mercredi","Jeudi","Vendredi","Samedi","Dimanche"))</x:f>
      </x:c>
      <x:c r="G177" s="82"/>
      <x:c r="H177" s="78" t="str">
        <x:f>IF(G177="","",IF(G177&lt;TIME(11,0,0),"Matin",IF(G177&lt;TIME(15,0,0),"Midi",IF(G177&lt;TIME(18,0,0),"Après-midi","Soir"))))</x:f>
      </x:c>
      <x:c r="I177" s="25"/>
      <x:c r="J177" s="25"/>
      <x:c r="K177" s="25"/>
      <x:c r="L177" s="25"/>
      <x:c r="M177" s="25"/>
      <x:c r="N177" s="25"/>
      <x:c r="O177" s="80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  <x:c r="AA177" s="25"/>
      <x:c r="AB177" s="25"/>
      <x:c r="AC177" s="92"/>
      <x:c r="AD177" s="92"/>
      <x:c r="AE177" s="92"/>
      <x:c r="AF177" s="92"/>
      <x:c r="AG177" s="92"/>
      <x:c r="AH177" s="92"/>
      <x:c r="AI177" s="92"/>
      <x:c r="AJ177" s="92"/>
      <x:c r="AK177" s="94" t="str">
        <x:f>IF(B177="","",SUM(AG177:AJ177))</x:f>
      </x:c>
      <x:c r="AL177" s="84" t="n">
        <x:f>IFERROR(AK177/AD177,0)</x:f>
        <x:v>0</x:v>
      </x:c>
      <x:c r="AM177" s="92"/>
      <x:c r="AN177" s="92"/>
      <x:c r="AO177" s="92"/>
      <x:c r="AP177" s="92"/>
      <x:c r="AQ177" s="25"/>
      <x:c r="AR177" s="25"/>
      <x:c r="AS177" s="86"/>
      <x:c r="AT177" s="86"/>
      <x:c r="AU177" s="86"/>
      <x:c r="AV177" s="90"/>
      <x:c r="AW177" s="86"/>
      <x:c r="AX177" s="88" t="str">
        <x:f>IF(B177="","",AV177*'Paramètres'!$B$4+AW177)</x:f>
      </x:c>
      <x:c r="AY177" s="25"/>
      <x:c r="AZ177" s="25"/>
      <x:c r="BA177" s="25"/>
    </x:row>
    <x:row r="178">
      <x:c r="A178" s="78" t="str">
        <x:f>IF(B178="","",ROW()-5)</x:f>
      </x:c>
      <x:c r="B178" s="80"/>
      <x:c r="C178" s="78" t="str">
        <x:f>IF(B178="","",YEAR(B178))</x:f>
      </x:c>
      <x:c r="D178" s="78" t="str">
        <x:f>IF(B178="","",CHOOSE(MONTH(B178),"Janvier","Février","Mars","Avril","Mai","Juin","Juillet","Août","Septembre","Octobre","Novembre","Décembre"))</x:f>
      </x:c>
      <x:c r="E178" s="78" t="str">
        <x:f>IF(B178="","",WEEKNUM(B178,2))</x:f>
      </x:c>
      <x:c r="F178" s="78" t="str">
        <x:f>IF(B178="","",CHOOSE(WEEKDAY(B178,2),"Lundi","Mardi","Mercredi","Jeudi","Vendredi","Samedi","Dimanche"))</x:f>
      </x:c>
      <x:c r="G178" s="82"/>
      <x:c r="H178" s="78" t="str">
        <x:f>IF(G178="","",IF(G178&lt;TIME(11,0,0),"Matin",IF(G178&lt;TIME(15,0,0),"Midi",IF(G178&lt;TIME(18,0,0),"Après-midi","Soir"))))</x:f>
      </x:c>
      <x:c r="I178" s="25"/>
      <x:c r="J178" s="25"/>
      <x:c r="K178" s="25"/>
      <x:c r="L178" s="25"/>
      <x:c r="M178" s="25"/>
      <x:c r="N178" s="25"/>
      <x:c r="O178" s="80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  <x:c r="AA178" s="25"/>
      <x:c r="AB178" s="25"/>
      <x:c r="AC178" s="92"/>
      <x:c r="AD178" s="92"/>
      <x:c r="AE178" s="92"/>
      <x:c r="AF178" s="92"/>
      <x:c r="AG178" s="92"/>
      <x:c r="AH178" s="92"/>
      <x:c r="AI178" s="92"/>
      <x:c r="AJ178" s="92"/>
      <x:c r="AK178" s="94" t="str">
        <x:f>IF(B178="","",SUM(AG178:AJ178))</x:f>
      </x:c>
      <x:c r="AL178" s="84" t="n">
        <x:f>IFERROR(AK178/AD178,0)</x:f>
        <x:v>0</x:v>
      </x:c>
      <x:c r="AM178" s="92"/>
      <x:c r="AN178" s="92"/>
      <x:c r="AO178" s="92"/>
      <x:c r="AP178" s="92"/>
      <x:c r="AQ178" s="25"/>
      <x:c r="AR178" s="25"/>
      <x:c r="AS178" s="86"/>
      <x:c r="AT178" s="86"/>
      <x:c r="AU178" s="86"/>
      <x:c r="AV178" s="90"/>
      <x:c r="AW178" s="86"/>
      <x:c r="AX178" s="88" t="str">
        <x:f>IF(B178="","",AV178*'Paramètres'!$B$4+AW178)</x:f>
      </x:c>
      <x:c r="AY178" s="25"/>
      <x:c r="AZ178" s="25"/>
      <x:c r="BA178" s="25"/>
    </x:row>
    <x:row r="179">
      <x:c r="A179" s="78" t="str">
        <x:f>IF(B179="","",ROW()-5)</x:f>
      </x:c>
      <x:c r="B179" s="80"/>
      <x:c r="C179" s="78" t="str">
        <x:f>IF(B179="","",YEAR(B179))</x:f>
      </x:c>
      <x:c r="D179" s="78" t="str">
        <x:f>IF(B179="","",CHOOSE(MONTH(B179),"Janvier","Février","Mars","Avril","Mai","Juin","Juillet","Août","Septembre","Octobre","Novembre","Décembre"))</x:f>
      </x:c>
      <x:c r="E179" s="78" t="str">
        <x:f>IF(B179="","",WEEKNUM(B179,2))</x:f>
      </x:c>
      <x:c r="F179" s="78" t="str">
        <x:f>IF(B179="","",CHOOSE(WEEKDAY(B179,2),"Lundi","Mardi","Mercredi","Jeudi","Vendredi","Samedi","Dimanche"))</x:f>
      </x:c>
      <x:c r="G179" s="82"/>
      <x:c r="H179" s="78" t="str">
        <x:f>IF(G179="","",IF(G179&lt;TIME(11,0,0),"Matin",IF(G179&lt;TIME(15,0,0),"Midi",IF(G179&lt;TIME(18,0,0),"Après-midi","Soir"))))</x:f>
      </x:c>
      <x:c r="I179" s="25"/>
      <x:c r="J179" s="25"/>
      <x:c r="K179" s="25"/>
      <x:c r="L179" s="25"/>
      <x:c r="M179" s="25"/>
      <x:c r="N179" s="25"/>
      <x:c r="O179" s="80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  <x:c r="AA179" s="25"/>
      <x:c r="AB179" s="25"/>
      <x:c r="AC179" s="92"/>
      <x:c r="AD179" s="92"/>
      <x:c r="AE179" s="92"/>
      <x:c r="AF179" s="92"/>
      <x:c r="AG179" s="92"/>
      <x:c r="AH179" s="92"/>
      <x:c r="AI179" s="92"/>
      <x:c r="AJ179" s="92"/>
      <x:c r="AK179" s="94" t="str">
        <x:f>IF(B179="","",SUM(AG179:AJ179))</x:f>
      </x:c>
      <x:c r="AL179" s="84" t="n">
        <x:f>IFERROR(AK179/AD179,0)</x:f>
        <x:v>0</x:v>
      </x:c>
      <x:c r="AM179" s="92"/>
      <x:c r="AN179" s="92"/>
      <x:c r="AO179" s="92"/>
      <x:c r="AP179" s="92"/>
      <x:c r="AQ179" s="25"/>
      <x:c r="AR179" s="25"/>
      <x:c r="AS179" s="86"/>
      <x:c r="AT179" s="86"/>
      <x:c r="AU179" s="86"/>
      <x:c r="AV179" s="90"/>
      <x:c r="AW179" s="86"/>
      <x:c r="AX179" s="88" t="str">
        <x:f>IF(B179="","",AV179*'Paramètres'!$B$4+AW179)</x:f>
      </x:c>
      <x:c r="AY179" s="25"/>
      <x:c r="AZ179" s="25"/>
      <x:c r="BA179" s="25"/>
    </x:row>
    <x:row r="180">
      <x:c r="A180" s="78" t="str">
        <x:f>IF(B180="","",ROW()-5)</x:f>
      </x:c>
      <x:c r="B180" s="80"/>
      <x:c r="C180" s="78" t="str">
        <x:f>IF(B180="","",YEAR(B180))</x:f>
      </x:c>
      <x:c r="D180" s="78" t="str">
        <x:f>IF(B180="","",CHOOSE(MONTH(B180),"Janvier","Février","Mars","Avril","Mai","Juin","Juillet","Août","Septembre","Octobre","Novembre","Décembre"))</x:f>
      </x:c>
      <x:c r="E180" s="78" t="str">
        <x:f>IF(B180="","",WEEKNUM(B180,2))</x:f>
      </x:c>
      <x:c r="F180" s="78" t="str">
        <x:f>IF(B180="","",CHOOSE(WEEKDAY(B180,2),"Lundi","Mardi","Mercredi","Jeudi","Vendredi","Samedi","Dimanche"))</x:f>
      </x:c>
      <x:c r="G180" s="82"/>
      <x:c r="H180" s="78" t="str">
        <x:f>IF(G180="","",IF(G180&lt;TIME(11,0,0),"Matin",IF(G180&lt;TIME(15,0,0),"Midi",IF(G180&lt;TIME(18,0,0),"Après-midi","Soir"))))</x:f>
      </x:c>
      <x:c r="I180" s="25"/>
      <x:c r="J180" s="25"/>
      <x:c r="K180" s="25"/>
      <x:c r="L180" s="25"/>
      <x:c r="M180" s="25"/>
      <x:c r="N180" s="25"/>
      <x:c r="O180" s="80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  <x:c r="AA180" s="25"/>
      <x:c r="AB180" s="25"/>
      <x:c r="AC180" s="92"/>
      <x:c r="AD180" s="92"/>
      <x:c r="AE180" s="92"/>
      <x:c r="AF180" s="92"/>
      <x:c r="AG180" s="92"/>
      <x:c r="AH180" s="92"/>
      <x:c r="AI180" s="92"/>
      <x:c r="AJ180" s="92"/>
      <x:c r="AK180" s="94" t="str">
        <x:f>IF(B180="","",SUM(AG180:AJ180))</x:f>
      </x:c>
      <x:c r="AL180" s="84" t="n">
        <x:f>IFERROR(AK180/AD180,0)</x:f>
        <x:v>0</x:v>
      </x:c>
      <x:c r="AM180" s="92"/>
      <x:c r="AN180" s="92"/>
      <x:c r="AO180" s="92"/>
      <x:c r="AP180" s="92"/>
      <x:c r="AQ180" s="25"/>
      <x:c r="AR180" s="25"/>
      <x:c r="AS180" s="86"/>
      <x:c r="AT180" s="86"/>
      <x:c r="AU180" s="86"/>
      <x:c r="AV180" s="90"/>
      <x:c r="AW180" s="86"/>
      <x:c r="AX180" s="88" t="str">
        <x:f>IF(B180="","",AV180*'Paramètres'!$B$4+AW180)</x:f>
      </x:c>
      <x:c r="AY180" s="25"/>
      <x:c r="AZ180" s="25"/>
      <x:c r="BA180" s="25"/>
    </x:row>
    <x:row r="181">
      <x:c r="A181" s="78" t="str">
        <x:f>IF(B181="","",ROW()-5)</x:f>
      </x:c>
      <x:c r="B181" s="80"/>
      <x:c r="C181" s="78" t="str">
        <x:f>IF(B181="","",YEAR(B181))</x:f>
      </x:c>
      <x:c r="D181" s="78" t="str">
        <x:f>IF(B181="","",CHOOSE(MONTH(B181),"Janvier","Février","Mars","Avril","Mai","Juin","Juillet","Août","Septembre","Octobre","Novembre","Décembre"))</x:f>
      </x:c>
      <x:c r="E181" s="78" t="str">
        <x:f>IF(B181="","",WEEKNUM(B181,2))</x:f>
      </x:c>
      <x:c r="F181" s="78" t="str">
        <x:f>IF(B181="","",CHOOSE(WEEKDAY(B181,2),"Lundi","Mardi","Mercredi","Jeudi","Vendredi","Samedi","Dimanche"))</x:f>
      </x:c>
      <x:c r="G181" s="82"/>
      <x:c r="H181" s="78" t="str">
        <x:f>IF(G181="","",IF(G181&lt;TIME(11,0,0),"Matin",IF(G181&lt;TIME(15,0,0),"Midi",IF(G181&lt;TIME(18,0,0),"Après-midi","Soir"))))</x:f>
      </x:c>
      <x:c r="I181" s="25"/>
      <x:c r="J181" s="25"/>
      <x:c r="K181" s="25"/>
      <x:c r="L181" s="25"/>
      <x:c r="M181" s="25"/>
      <x:c r="N181" s="25"/>
      <x:c r="O181" s="80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  <x:c r="AA181" s="25"/>
      <x:c r="AB181" s="25"/>
      <x:c r="AC181" s="92"/>
      <x:c r="AD181" s="92"/>
      <x:c r="AE181" s="92"/>
      <x:c r="AF181" s="92"/>
      <x:c r="AG181" s="92"/>
      <x:c r="AH181" s="92"/>
      <x:c r="AI181" s="92"/>
      <x:c r="AJ181" s="92"/>
      <x:c r="AK181" s="94" t="str">
        <x:f>IF(B181="","",SUM(AG181:AJ181))</x:f>
      </x:c>
      <x:c r="AL181" s="84" t="n">
        <x:f>IFERROR(AK181/AD181,0)</x:f>
        <x:v>0</x:v>
      </x:c>
      <x:c r="AM181" s="92"/>
      <x:c r="AN181" s="92"/>
      <x:c r="AO181" s="92"/>
      <x:c r="AP181" s="92"/>
      <x:c r="AQ181" s="25"/>
      <x:c r="AR181" s="25"/>
      <x:c r="AS181" s="86"/>
      <x:c r="AT181" s="86"/>
      <x:c r="AU181" s="86"/>
      <x:c r="AV181" s="90"/>
      <x:c r="AW181" s="86"/>
      <x:c r="AX181" s="88" t="str">
        <x:f>IF(B181="","",AV181*'Paramètres'!$B$4+AW181)</x:f>
      </x:c>
      <x:c r="AY181" s="25"/>
      <x:c r="AZ181" s="25"/>
      <x:c r="BA181" s="25"/>
    </x:row>
    <x:row r="182">
      <x:c r="A182" s="78" t="str">
        <x:f>IF(B182="","",ROW()-5)</x:f>
      </x:c>
      <x:c r="B182" s="80"/>
      <x:c r="C182" s="78" t="str">
        <x:f>IF(B182="","",YEAR(B182))</x:f>
      </x:c>
      <x:c r="D182" s="78" t="str">
        <x:f>IF(B182="","",CHOOSE(MONTH(B182),"Janvier","Février","Mars","Avril","Mai","Juin","Juillet","Août","Septembre","Octobre","Novembre","Décembre"))</x:f>
      </x:c>
      <x:c r="E182" s="78" t="str">
        <x:f>IF(B182="","",WEEKNUM(B182,2))</x:f>
      </x:c>
      <x:c r="F182" s="78" t="str">
        <x:f>IF(B182="","",CHOOSE(WEEKDAY(B182,2),"Lundi","Mardi","Mercredi","Jeudi","Vendredi","Samedi","Dimanche"))</x:f>
      </x:c>
      <x:c r="G182" s="82"/>
      <x:c r="H182" s="78" t="str">
        <x:f>IF(G182="","",IF(G182&lt;TIME(11,0,0),"Matin",IF(G182&lt;TIME(15,0,0),"Midi",IF(G182&lt;TIME(18,0,0),"Après-midi","Soir"))))</x:f>
      </x:c>
      <x:c r="I182" s="25"/>
      <x:c r="J182" s="25"/>
      <x:c r="K182" s="25"/>
      <x:c r="L182" s="25"/>
      <x:c r="M182" s="25"/>
      <x:c r="N182" s="25"/>
      <x:c r="O182" s="80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  <x:c r="AA182" s="25"/>
      <x:c r="AB182" s="25"/>
      <x:c r="AC182" s="92"/>
      <x:c r="AD182" s="92"/>
      <x:c r="AE182" s="92"/>
      <x:c r="AF182" s="92"/>
      <x:c r="AG182" s="92"/>
      <x:c r="AH182" s="92"/>
      <x:c r="AI182" s="92"/>
      <x:c r="AJ182" s="92"/>
      <x:c r="AK182" s="94" t="str">
        <x:f>IF(B182="","",SUM(AG182:AJ182))</x:f>
      </x:c>
      <x:c r="AL182" s="84" t="n">
        <x:f>IFERROR(AK182/AD182,0)</x:f>
        <x:v>0</x:v>
      </x:c>
      <x:c r="AM182" s="92"/>
      <x:c r="AN182" s="92"/>
      <x:c r="AO182" s="92"/>
      <x:c r="AP182" s="92"/>
      <x:c r="AQ182" s="25"/>
      <x:c r="AR182" s="25"/>
      <x:c r="AS182" s="86"/>
      <x:c r="AT182" s="86"/>
      <x:c r="AU182" s="86"/>
      <x:c r="AV182" s="90"/>
      <x:c r="AW182" s="86"/>
      <x:c r="AX182" s="88" t="str">
        <x:f>IF(B182="","",AV182*'Paramètres'!$B$4+AW182)</x:f>
      </x:c>
      <x:c r="AY182" s="25"/>
      <x:c r="AZ182" s="25"/>
      <x:c r="BA182" s="25"/>
    </x:row>
    <x:row r="183">
      <x:c r="A183" s="78" t="str">
        <x:f>IF(B183="","",ROW()-5)</x:f>
      </x:c>
      <x:c r="B183" s="80"/>
      <x:c r="C183" s="78" t="str">
        <x:f>IF(B183="","",YEAR(B183))</x:f>
      </x:c>
      <x:c r="D183" s="78" t="str">
        <x:f>IF(B183="","",CHOOSE(MONTH(B183),"Janvier","Février","Mars","Avril","Mai","Juin","Juillet","Août","Septembre","Octobre","Novembre","Décembre"))</x:f>
      </x:c>
      <x:c r="E183" s="78" t="str">
        <x:f>IF(B183="","",WEEKNUM(B183,2))</x:f>
      </x:c>
      <x:c r="F183" s="78" t="str">
        <x:f>IF(B183="","",CHOOSE(WEEKDAY(B183,2),"Lundi","Mardi","Mercredi","Jeudi","Vendredi","Samedi","Dimanche"))</x:f>
      </x:c>
      <x:c r="G183" s="82"/>
      <x:c r="H183" s="78" t="str">
        <x:f>IF(G183="","",IF(G183&lt;TIME(11,0,0),"Matin",IF(G183&lt;TIME(15,0,0),"Midi",IF(G183&lt;TIME(18,0,0),"Après-midi","Soir"))))</x:f>
      </x:c>
      <x:c r="I183" s="25"/>
      <x:c r="J183" s="25"/>
      <x:c r="K183" s="25"/>
      <x:c r="L183" s="25"/>
      <x:c r="M183" s="25"/>
      <x:c r="N183" s="25"/>
      <x:c r="O183" s="80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  <x:c r="AA183" s="25"/>
      <x:c r="AB183" s="25"/>
      <x:c r="AC183" s="92"/>
      <x:c r="AD183" s="92"/>
      <x:c r="AE183" s="92"/>
      <x:c r="AF183" s="92"/>
      <x:c r="AG183" s="92"/>
      <x:c r="AH183" s="92"/>
      <x:c r="AI183" s="92"/>
      <x:c r="AJ183" s="92"/>
      <x:c r="AK183" s="94" t="str">
        <x:f>IF(B183="","",SUM(AG183:AJ183))</x:f>
      </x:c>
      <x:c r="AL183" s="84" t="n">
        <x:f>IFERROR(AK183/AD183,0)</x:f>
        <x:v>0</x:v>
      </x:c>
      <x:c r="AM183" s="92"/>
      <x:c r="AN183" s="92"/>
      <x:c r="AO183" s="92"/>
      <x:c r="AP183" s="92"/>
      <x:c r="AQ183" s="25"/>
      <x:c r="AR183" s="25"/>
      <x:c r="AS183" s="86"/>
      <x:c r="AT183" s="86"/>
      <x:c r="AU183" s="86"/>
      <x:c r="AV183" s="90"/>
      <x:c r="AW183" s="86"/>
      <x:c r="AX183" s="88" t="str">
        <x:f>IF(B183="","",AV183*'Paramètres'!$B$4+AW183)</x:f>
      </x:c>
      <x:c r="AY183" s="25"/>
      <x:c r="AZ183" s="25"/>
      <x:c r="BA183" s="25"/>
    </x:row>
    <x:row r="184">
      <x:c r="A184" s="78" t="str">
        <x:f>IF(B184="","",ROW()-5)</x:f>
      </x:c>
      <x:c r="B184" s="80"/>
      <x:c r="C184" s="78" t="str">
        <x:f>IF(B184="","",YEAR(B184))</x:f>
      </x:c>
      <x:c r="D184" s="78" t="str">
        <x:f>IF(B184="","",CHOOSE(MONTH(B184),"Janvier","Février","Mars","Avril","Mai","Juin","Juillet","Août","Septembre","Octobre","Novembre","Décembre"))</x:f>
      </x:c>
      <x:c r="E184" s="78" t="str">
        <x:f>IF(B184="","",WEEKNUM(B184,2))</x:f>
      </x:c>
      <x:c r="F184" s="78" t="str">
        <x:f>IF(B184="","",CHOOSE(WEEKDAY(B184,2),"Lundi","Mardi","Mercredi","Jeudi","Vendredi","Samedi","Dimanche"))</x:f>
      </x:c>
      <x:c r="G184" s="82"/>
      <x:c r="H184" s="78" t="str">
        <x:f>IF(G184="","",IF(G184&lt;TIME(11,0,0),"Matin",IF(G184&lt;TIME(15,0,0),"Midi",IF(G184&lt;TIME(18,0,0),"Après-midi","Soir"))))</x:f>
      </x:c>
      <x:c r="I184" s="25"/>
      <x:c r="J184" s="25"/>
      <x:c r="K184" s="25"/>
      <x:c r="L184" s="25"/>
      <x:c r="M184" s="25"/>
      <x:c r="N184" s="25"/>
      <x:c r="O184" s="80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  <x:c r="AA184" s="25"/>
      <x:c r="AB184" s="25"/>
      <x:c r="AC184" s="92"/>
      <x:c r="AD184" s="92"/>
      <x:c r="AE184" s="92"/>
      <x:c r="AF184" s="92"/>
      <x:c r="AG184" s="92"/>
      <x:c r="AH184" s="92"/>
      <x:c r="AI184" s="92"/>
      <x:c r="AJ184" s="92"/>
      <x:c r="AK184" s="94" t="str">
        <x:f>IF(B184="","",SUM(AG184:AJ184))</x:f>
      </x:c>
      <x:c r="AL184" s="84" t="n">
        <x:f>IFERROR(AK184/AD184,0)</x:f>
        <x:v>0</x:v>
      </x:c>
      <x:c r="AM184" s="92"/>
      <x:c r="AN184" s="92"/>
      <x:c r="AO184" s="92"/>
      <x:c r="AP184" s="92"/>
      <x:c r="AQ184" s="25"/>
      <x:c r="AR184" s="25"/>
      <x:c r="AS184" s="86"/>
      <x:c r="AT184" s="86"/>
      <x:c r="AU184" s="86"/>
      <x:c r="AV184" s="90"/>
      <x:c r="AW184" s="86"/>
      <x:c r="AX184" s="88" t="str">
        <x:f>IF(B184="","",AV184*'Paramètres'!$B$4+AW184)</x:f>
      </x:c>
      <x:c r="AY184" s="25"/>
      <x:c r="AZ184" s="25"/>
      <x:c r="BA184" s="25"/>
    </x:row>
    <x:row r="185">
      <x:c r="A185" s="78" t="str">
        <x:f>IF(B185="","",ROW()-5)</x:f>
      </x:c>
      <x:c r="B185" s="80"/>
      <x:c r="C185" s="78" t="str">
        <x:f>IF(B185="","",YEAR(B185))</x:f>
      </x:c>
      <x:c r="D185" s="78" t="str">
        <x:f>IF(B185="","",CHOOSE(MONTH(B185),"Janvier","Février","Mars","Avril","Mai","Juin","Juillet","Août","Septembre","Octobre","Novembre","Décembre"))</x:f>
      </x:c>
      <x:c r="E185" s="78" t="str">
        <x:f>IF(B185="","",WEEKNUM(B185,2))</x:f>
      </x:c>
      <x:c r="F185" s="78" t="str">
        <x:f>IF(B185="","",CHOOSE(WEEKDAY(B185,2),"Lundi","Mardi","Mercredi","Jeudi","Vendredi","Samedi","Dimanche"))</x:f>
      </x:c>
      <x:c r="G185" s="82"/>
      <x:c r="H185" s="78" t="str">
        <x:f>IF(G185="","",IF(G185&lt;TIME(11,0,0),"Matin",IF(G185&lt;TIME(15,0,0),"Midi",IF(G185&lt;TIME(18,0,0),"Après-midi","Soir"))))</x:f>
      </x:c>
      <x:c r="I185" s="25"/>
      <x:c r="J185" s="25"/>
      <x:c r="K185" s="25"/>
      <x:c r="L185" s="25"/>
      <x:c r="M185" s="25"/>
      <x:c r="N185" s="25"/>
      <x:c r="O185" s="80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  <x:c r="AA185" s="25"/>
      <x:c r="AB185" s="25"/>
      <x:c r="AC185" s="92"/>
      <x:c r="AD185" s="92"/>
      <x:c r="AE185" s="92"/>
      <x:c r="AF185" s="92"/>
      <x:c r="AG185" s="92"/>
      <x:c r="AH185" s="92"/>
      <x:c r="AI185" s="92"/>
      <x:c r="AJ185" s="92"/>
      <x:c r="AK185" s="94" t="str">
        <x:f>IF(B185="","",SUM(AG185:AJ185))</x:f>
      </x:c>
      <x:c r="AL185" s="84" t="n">
        <x:f>IFERROR(AK185/AD185,0)</x:f>
        <x:v>0</x:v>
      </x:c>
      <x:c r="AM185" s="92"/>
      <x:c r="AN185" s="92"/>
      <x:c r="AO185" s="92"/>
      <x:c r="AP185" s="92"/>
      <x:c r="AQ185" s="25"/>
      <x:c r="AR185" s="25"/>
      <x:c r="AS185" s="86"/>
      <x:c r="AT185" s="86"/>
      <x:c r="AU185" s="86"/>
      <x:c r="AV185" s="90"/>
      <x:c r="AW185" s="86"/>
      <x:c r="AX185" s="88" t="str">
        <x:f>IF(B185="","",AV185*'Paramètres'!$B$4+AW185)</x:f>
      </x:c>
      <x:c r="AY185" s="25"/>
      <x:c r="AZ185" s="25"/>
      <x:c r="BA185" s="25"/>
    </x:row>
    <x:row r="186">
      <x:c r="A186" s="78" t="str">
        <x:f>IF(B186="","",ROW()-5)</x:f>
      </x:c>
      <x:c r="B186" s="80"/>
      <x:c r="C186" s="78" t="str">
        <x:f>IF(B186="","",YEAR(B186))</x:f>
      </x:c>
      <x:c r="D186" s="78" t="str">
        <x:f>IF(B186="","",CHOOSE(MONTH(B186),"Janvier","Février","Mars","Avril","Mai","Juin","Juillet","Août","Septembre","Octobre","Novembre","Décembre"))</x:f>
      </x:c>
      <x:c r="E186" s="78" t="str">
        <x:f>IF(B186="","",WEEKNUM(B186,2))</x:f>
      </x:c>
      <x:c r="F186" s="78" t="str">
        <x:f>IF(B186="","",CHOOSE(WEEKDAY(B186,2),"Lundi","Mardi","Mercredi","Jeudi","Vendredi","Samedi","Dimanche"))</x:f>
      </x:c>
      <x:c r="G186" s="82"/>
      <x:c r="H186" s="78" t="str">
        <x:f>IF(G186="","",IF(G186&lt;TIME(11,0,0),"Matin",IF(G186&lt;TIME(15,0,0),"Midi",IF(G186&lt;TIME(18,0,0),"Après-midi","Soir"))))</x:f>
      </x:c>
      <x:c r="I186" s="25"/>
      <x:c r="J186" s="25"/>
      <x:c r="K186" s="25"/>
      <x:c r="L186" s="25"/>
      <x:c r="M186" s="25"/>
      <x:c r="N186" s="25"/>
      <x:c r="O186" s="80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  <x:c r="AA186" s="25"/>
      <x:c r="AB186" s="25"/>
      <x:c r="AC186" s="92"/>
      <x:c r="AD186" s="92"/>
      <x:c r="AE186" s="92"/>
      <x:c r="AF186" s="92"/>
      <x:c r="AG186" s="92"/>
      <x:c r="AH186" s="92"/>
      <x:c r="AI186" s="92"/>
      <x:c r="AJ186" s="92"/>
      <x:c r="AK186" s="94" t="str">
        <x:f>IF(B186="","",SUM(AG186:AJ186))</x:f>
      </x:c>
      <x:c r="AL186" s="84" t="n">
        <x:f>IFERROR(AK186/AD186,0)</x:f>
        <x:v>0</x:v>
      </x:c>
      <x:c r="AM186" s="92"/>
      <x:c r="AN186" s="92"/>
      <x:c r="AO186" s="92"/>
      <x:c r="AP186" s="92"/>
      <x:c r="AQ186" s="25"/>
      <x:c r="AR186" s="25"/>
      <x:c r="AS186" s="86"/>
      <x:c r="AT186" s="86"/>
      <x:c r="AU186" s="86"/>
      <x:c r="AV186" s="90"/>
      <x:c r="AW186" s="86"/>
      <x:c r="AX186" s="88" t="str">
        <x:f>IF(B186="","",AV186*'Paramètres'!$B$4+AW186)</x:f>
      </x:c>
      <x:c r="AY186" s="25"/>
      <x:c r="AZ186" s="25"/>
      <x:c r="BA186" s="25"/>
    </x:row>
    <x:row r="187">
      <x:c r="A187" s="78" t="str">
        <x:f>IF(B187="","",ROW()-5)</x:f>
      </x:c>
      <x:c r="B187" s="80"/>
      <x:c r="C187" s="78" t="str">
        <x:f>IF(B187="","",YEAR(B187))</x:f>
      </x:c>
      <x:c r="D187" s="78" t="str">
        <x:f>IF(B187="","",CHOOSE(MONTH(B187),"Janvier","Février","Mars","Avril","Mai","Juin","Juillet","Août","Septembre","Octobre","Novembre","Décembre"))</x:f>
      </x:c>
      <x:c r="E187" s="78" t="str">
        <x:f>IF(B187="","",WEEKNUM(B187,2))</x:f>
      </x:c>
      <x:c r="F187" s="78" t="str">
        <x:f>IF(B187="","",CHOOSE(WEEKDAY(B187,2),"Lundi","Mardi","Mercredi","Jeudi","Vendredi","Samedi","Dimanche"))</x:f>
      </x:c>
      <x:c r="G187" s="82"/>
      <x:c r="H187" s="78" t="str">
        <x:f>IF(G187="","",IF(G187&lt;TIME(11,0,0),"Matin",IF(G187&lt;TIME(15,0,0),"Midi",IF(G187&lt;TIME(18,0,0),"Après-midi","Soir"))))</x:f>
      </x:c>
      <x:c r="I187" s="25"/>
      <x:c r="J187" s="25"/>
      <x:c r="K187" s="25"/>
      <x:c r="L187" s="25"/>
      <x:c r="M187" s="25"/>
      <x:c r="N187" s="25"/>
      <x:c r="O187" s="80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  <x:c r="AA187" s="25"/>
      <x:c r="AB187" s="25"/>
      <x:c r="AC187" s="92"/>
      <x:c r="AD187" s="92"/>
      <x:c r="AE187" s="92"/>
      <x:c r="AF187" s="92"/>
      <x:c r="AG187" s="92"/>
      <x:c r="AH187" s="92"/>
      <x:c r="AI187" s="92"/>
      <x:c r="AJ187" s="92"/>
      <x:c r="AK187" s="94" t="str">
        <x:f>IF(B187="","",SUM(AG187:AJ187))</x:f>
      </x:c>
      <x:c r="AL187" s="84" t="n">
        <x:f>IFERROR(AK187/AD187,0)</x:f>
        <x:v>0</x:v>
      </x:c>
      <x:c r="AM187" s="92"/>
      <x:c r="AN187" s="92"/>
      <x:c r="AO187" s="92"/>
      <x:c r="AP187" s="92"/>
      <x:c r="AQ187" s="25"/>
      <x:c r="AR187" s="25"/>
      <x:c r="AS187" s="86"/>
      <x:c r="AT187" s="86"/>
      <x:c r="AU187" s="86"/>
      <x:c r="AV187" s="90"/>
      <x:c r="AW187" s="86"/>
      <x:c r="AX187" s="88" t="str">
        <x:f>IF(B187="","",AV187*'Paramètres'!$B$4+AW187)</x:f>
      </x:c>
      <x:c r="AY187" s="25"/>
      <x:c r="AZ187" s="25"/>
      <x:c r="BA187" s="25"/>
    </x:row>
    <x:row r="188">
      <x:c r="A188" s="78" t="str">
        <x:f>IF(B188="","",ROW()-5)</x:f>
      </x:c>
      <x:c r="B188" s="80"/>
      <x:c r="C188" s="78" t="str">
        <x:f>IF(B188="","",YEAR(B188))</x:f>
      </x:c>
      <x:c r="D188" s="78" t="str">
        <x:f>IF(B188="","",CHOOSE(MONTH(B188),"Janvier","Février","Mars","Avril","Mai","Juin","Juillet","Août","Septembre","Octobre","Novembre","Décembre"))</x:f>
      </x:c>
      <x:c r="E188" s="78" t="str">
        <x:f>IF(B188="","",WEEKNUM(B188,2))</x:f>
      </x:c>
      <x:c r="F188" s="78" t="str">
        <x:f>IF(B188="","",CHOOSE(WEEKDAY(B188,2),"Lundi","Mardi","Mercredi","Jeudi","Vendredi","Samedi","Dimanche"))</x:f>
      </x:c>
      <x:c r="G188" s="82"/>
      <x:c r="H188" s="78" t="str">
        <x:f>IF(G188="","",IF(G188&lt;TIME(11,0,0),"Matin",IF(G188&lt;TIME(15,0,0),"Midi",IF(G188&lt;TIME(18,0,0),"Après-midi","Soir"))))</x:f>
      </x:c>
      <x:c r="I188" s="25"/>
      <x:c r="J188" s="25"/>
      <x:c r="K188" s="25"/>
      <x:c r="L188" s="25"/>
      <x:c r="M188" s="25"/>
      <x:c r="N188" s="25"/>
      <x:c r="O188" s="80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  <x:c r="AA188" s="25"/>
      <x:c r="AB188" s="25"/>
      <x:c r="AC188" s="92"/>
      <x:c r="AD188" s="92"/>
      <x:c r="AE188" s="92"/>
      <x:c r="AF188" s="92"/>
      <x:c r="AG188" s="92"/>
      <x:c r="AH188" s="92"/>
      <x:c r="AI188" s="92"/>
      <x:c r="AJ188" s="92"/>
      <x:c r="AK188" s="94" t="str">
        <x:f>IF(B188="","",SUM(AG188:AJ188))</x:f>
      </x:c>
      <x:c r="AL188" s="84" t="n">
        <x:f>IFERROR(AK188/AD188,0)</x:f>
        <x:v>0</x:v>
      </x:c>
      <x:c r="AM188" s="92"/>
      <x:c r="AN188" s="92"/>
      <x:c r="AO188" s="92"/>
      <x:c r="AP188" s="92"/>
      <x:c r="AQ188" s="25"/>
      <x:c r="AR188" s="25"/>
      <x:c r="AS188" s="86"/>
      <x:c r="AT188" s="86"/>
      <x:c r="AU188" s="86"/>
      <x:c r="AV188" s="90"/>
      <x:c r="AW188" s="86"/>
      <x:c r="AX188" s="88" t="str">
        <x:f>IF(B188="","",AV188*'Paramètres'!$B$4+AW188)</x:f>
      </x:c>
      <x:c r="AY188" s="25"/>
      <x:c r="AZ188" s="25"/>
      <x:c r="BA188" s="25"/>
    </x:row>
    <x:row r="189">
      <x:c r="A189" s="78" t="str">
        <x:f>IF(B189="","",ROW()-5)</x:f>
      </x:c>
      <x:c r="B189" s="80"/>
      <x:c r="C189" s="78" t="str">
        <x:f>IF(B189="","",YEAR(B189))</x:f>
      </x:c>
      <x:c r="D189" s="78" t="str">
        <x:f>IF(B189="","",CHOOSE(MONTH(B189),"Janvier","Février","Mars","Avril","Mai","Juin","Juillet","Août","Septembre","Octobre","Novembre","Décembre"))</x:f>
      </x:c>
      <x:c r="E189" s="78" t="str">
        <x:f>IF(B189="","",WEEKNUM(B189,2))</x:f>
      </x:c>
      <x:c r="F189" s="78" t="str">
        <x:f>IF(B189="","",CHOOSE(WEEKDAY(B189,2),"Lundi","Mardi","Mercredi","Jeudi","Vendredi","Samedi","Dimanche"))</x:f>
      </x:c>
      <x:c r="G189" s="82"/>
      <x:c r="H189" s="78" t="str">
        <x:f>IF(G189="","",IF(G189&lt;TIME(11,0,0),"Matin",IF(G189&lt;TIME(15,0,0),"Midi",IF(G189&lt;TIME(18,0,0),"Après-midi","Soir"))))</x:f>
      </x:c>
      <x:c r="I189" s="25"/>
      <x:c r="J189" s="25"/>
      <x:c r="K189" s="25"/>
      <x:c r="L189" s="25"/>
      <x:c r="M189" s="25"/>
      <x:c r="N189" s="25"/>
      <x:c r="O189" s="80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  <x:c r="AA189" s="25"/>
      <x:c r="AB189" s="25"/>
      <x:c r="AC189" s="92"/>
      <x:c r="AD189" s="92"/>
      <x:c r="AE189" s="92"/>
      <x:c r="AF189" s="92"/>
      <x:c r="AG189" s="92"/>
      <x:c r="AH189" s="92"/>
      <x:c r="AI189" s="92"/>
      <x:c r="AJ189" s="92"/>
      <x:c r="AK189" s="94" t="str">
        <x:f>IF(B189="","",SUM(AG189:AJ189))</x:f>
      </x:c>
      <x:c r="AL189" s="84" t="n">
        <x:f>IFERROR(AK189/AD189,0)</x:f>
        <x:v>0</x:v>
      </x:c>
      <x:c r="AM189" s="92"/>
      <x:c r="AN189" s="92"/>
      <x:c r="AO189" s="92"/>
      <x:c r="AP189" s="92"/>
      <x:c r="AQ189" s="25"/>
      <x:c r="AR189" s="25"/>
      <x:c r="AS189" s="86"/>
      <x:c r="AT189" s="86"/>
      <x:c r="AU189" s="86"/>
      <x:c r="AV189" s="90"/>
      <x:c r="AW189" s="86"/>
      <x:c r="AX189" s="88" t="str">
        <x:f>IF(B189="","",AV189*'Paramètres'!$B$4+AW189)</x:f>
      </x:c>
      <x:c r="AY189" s="25"/>
      <x:c r="AZ189" s="25"/>
      <x:c r="BA189" s="25"/>
    </x:row>
    <x:row r="190">
      <x:c r="A190" s="78" t="str">
        <x:f>IF(B190="","",ROW()-5)</x:f>
      </x:c>
      <x:c r="B190" s="80"/>
      <x:c r="C190" s="78" t="str">
        <x:f>IF(B190="","",YEAR(B190))</x:f>
      </x:c>
      <x:c r="D190" s="78" t="str">
        <x:f>IF(B190="","",CHOOSE(MONTH(B190),"Janvier","Février","Mars","Avril","Mai","Juin","Juillet","Août","Septembre","Octobre","Novembre","Décembre"))</x:f>
      </x:c>
      <x:c r="E190" s="78" t="str">
        <x:f>IF(B190="","",WEEKNUM(B190,2))</x:f>
      </x:c>
      <x:c r="F190" s="78" t="str">
        <x:f>IF(B190="","",CHOOSE(WEEKDAY(B190,2),"Lundi","Mardi","Mercredi","Jeudi","Vendredi","Samedi","Dimanche"))</x:f>
      </x:c>
      <x:c r="G190" s="82"/>
      <x:c r="H190" s="78" t="str">
        <x:f>IF(G190="","",IF(G190&lt;TIME(11,0,0),"Matin",IF(G190&lt;TIME(15,0,0),"Midi",IF(G190&lt;TIME(18,0,0),"Après-midi","Soir"))))</x:f>
      </x:c>
      <x:c r="I190" s="25"/>
      <x:c r="J190" s="25"/>
      <x:c r="K190" s="25"/>
      <x:c r="L190" s="25"/>
      <x:c r="M190" s="25"/>
      <x:c r="N190" s="25"/>
      <x:c r="O190" s="80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  <x:c r="AA190" s="25"/>
      <x:c r="AB190" s="25"/>
      <x:c r="AC190" s="92"/>
      <x:c r="AD190" s="92"/>
      <x:c r="AE190" s="92"/>
      <x:c r="AF190" s="92"/>
      <x:c r="AG190" s="92"/>
      <x:c r="AH190" s="92"/>
      <x:c r="AI190" s="92"/>
      <x:c r="AJ190" s="92"/>
      <x:c r="AK190" s="94" t="str">
        <x:f>IF(B190="","",SUM(AG190:AJ190))</x:f>
      </x:c>
      <x:c r="AL190" s="84" t="n">
        <x:f>IFERROR(AK190/AD190,0)</x:f>
        <x:v>0</x:v>
      </x:c>
      <x:c r="AM190" s="92"/>
      <x:c r="AN190" s="92"/>
      <x:c r="AO190" s="92"/>
      <x:c r="AP190" s="92"/>
      <x:c r="AQ190" s="25"/>
      <x:c r="AR190" s="25"/>
      <x:c r="AS190" s="86"/>
      <x:c r="AT190" s="86"/>
      <x:c r="AU190" s="86"/>
      <x:c r="AV190" s="90"/>
      <x:c r="AW190" s="86"/>
      <x:c r="AX190" s="88" t="str">
        <x:f>IF(B190="","",AV190*'Paramètres'!$B$4+AW190)</x:f>
      </x:c>
      <x:c r="AY190" s="25"/>
      <x:c r="AZ190" s="25"/>
      <x:c r="BA190" s="25"/>
    </x:row>
    <x:row r="191">
      <x:c r="A191" s="78" t="str">
        <x:f>IF(B191="","",ROW()-5)</x:f>
      </x:c>
      <x:c r="B191" s="80"/>
      <x:c r="C191" s="78" t="str">
        <x:f>IF(B191="","",YEAR(B191))</x:f>
      </x:c>
      <x:c r="D191" s="78" t="str">
        <x:f>IF(B191="","",CHOOSE(MONTH(B191),"Janvier","Février","Mars","Avril","Mai","Juin","Juillet","Août","Septembre","Octobre","Novembre","Décembre"))</x:f>
      </x:c>
      <x:c r="E191" s="78" t="str">
        <x:f>IF(B191="","",WEEKNUM(B191,2))</x:f>
      </x:c>
      <x:c r="F191" s="78" t="str">
        <x:f>IF(B191="","",CHOOSE(WEEKDAY(B191,2),"Lundi","Mardi","Mercredi","Jeudi","Vendredi","Samedi","Dimanche"))</x:f>
      </x:c>
      <x:c r="G191" s="82"/>
      <x:c r="H191" s="78" t="str">
        <x:f>IF(G191="","",IF(G191&lt;TIME(11,0,0),"Matin",IF(G191&lt;TIME(15,0,0),"Midi",IF(G191&lt;TIME(18,0,0),"Après-midi","Soir"))))</x:f>
      </x:c>
      <x:c r="I191" s="25"/>
      <x:c r="J191" s="25"/>
      <x:c r="K191" s="25"/>
      <x:c r="L191" s="25"/>
      <x:c r="M191" s="25"/>
      <x:c r="N191" s="25"/>
      <x:c r="O191" s="80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  <x:c r="AA191" s="25"/>
      <x:c r="AB191" s="25"/>
      <x:c r="AC191" s="92"/>
      <x:c r="AD191" s="92"/>
      <x:c r="AE191" s="92"/>
      <x:c r="AF191" s="92"/>
      <x:c r="AG191" s="92"/>
      <x:c r="AH191" s="92"/>
      <x:c r="AI191" s="92"/>
      <x:c r="AJ191" s="92"/>
      <x:c r="AK191" s="94" t="str">
        <x:f>IF(B191="","",SUM(AG191:AJ191))</x:f>
      </x:c>
      <x:c r="AL191" s="84" t="n">
        <x:f>IFERROR(AK191/AD191,0)</x:f>
        <x:v>0</x:v>
      </x:c>
      <x:c r="AM191" s="92"/>
      <x:c r="AN191" s="92"/>
      <x:c r="AO191" s="92"/>
      <x:c r="AP191" s="92"/>
      <x:c r="AQ191" s="25"/>
      <x:c r="AR191" s="25"/>
      <x:c r="AS191" s="86"/>
      <x:c r="AT191" s="86"/>
      <x:c r="AU191" s="86"/>
      <x:c r="AV191" s="90"/>
      <x:c r="AW191" s="86"/>
      <x:c r="AX191" s="88" t="str">
        <x:f>IF(B191="","",AV191*'Paramètres'!$B$4+AW191)</x:f>
      </x:c>
      <x:c r="AY191" s="25"/>
      <x:c r="AZ191" s="25"/>
      <x:c r="BA191" s="25"/>
    </x:row>
    <x:row r="192">
      <x:c r="A192" s="78" t="str">
        <x:f>IF(B192="","",ROW()-5)</x:f>
      </x:c>
      <x:c r="B192" s="80"/>
      <x:c r="C192" s="78" t="str">
        <x:f>IF(B192="","",YEAR(B192))</x:f>
      </x:c>
      <x:c r="D192" s="78" t="str">
        <x:f>IF(B192="","",CHOOSE(MONTH(B192),"Janvier","Février","Mars","Avril","Mai","Juin","Juillet","Août","Septembre","Octobre","Novembre","Décembre"))</x:f>
      </x:c>
      <x:c r="E192" s="78" t="str">
        <x:f>IF(B192="","",WEEKNUM(B192,2))</x:f>
      </x:c>
      <x:c r="F192" s="78" t="str">
        <x:f>IF(B192="","",CHOOSE(WEEKDAY(B192,2),"Lundi","Mardi","Mercredi","Jeudi","Vendredi","Samedi","Dimanche"))</x:f>
      </x:c>
      <x:c r="G192" s="82"/>
      <x:c r="H192" s="78" t="str">
        <x:f>IF(G192="","",IF(G192&lt;TIME(11,0,0),"Matin",IF(G192&lt;TIME(15,0,0),"Midi",IF(G192&lt;TIME(18,0,0),"Après-midi","Soir"))))</x:f>
      </x:c>
      <x:c r="I192" s="25"/>
      <x:c r="J192" s="25"/>
      <x:c r="K192" s="25"/>
      <x:c r="L192" s="25"/>
      <x:c r="M192" s="25"/>
      <x:c r="N192" s="25"/>
      <x:c r="O192" s="80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  <x:c r="AA192" s="25"/>
      <x:c r="AB192" s="25"/>
      <x:c r="AC192" s="92"/>
      <x:c r="AD192" s="92"/>
      <x:c r="AE192" s="92"/>
      <x:c r="AF192" s="92"/>
      <x:c r="AG192" s="92"/>
      <x:c r="AH192" s="92"/>
      <x:c r="AI192" s="92"/>
      <x:c r="AJ192" s="92"/>
      <x:c r="AK192" s="94" t="str">
        <x:f>IF(B192="","",SUM(AG192:AJ192))</x:f>
      </x:c>
      <x:c r="AL192" s="84" t="n">
        <x:f>IFERROR(AK192/AD192,0)</x:f>
        <x:v>0</x:v>
      </x:c>
      <x:c r="AM192" s="92"/>
      <x:c r="AN192" s="92"/>
      <x:c r="AO192" s="92"/>
      <x:c r="AP192" s="92"/>
      <x:c r="AQ192" s="25"/>
      <x:c r="AR192" s="25"/>
      <x:c r="AS192" s="86"/>
      <x:c r="AT192" s="86"/>
      <x:c r="AU192" s="86"/>
      <x:c r="AV192" s="90"/>
      <x:c r="AW192" s="86"/>
      <x:c r="AX192" s="88" t="str">
        <x:f>IF(B192="","",AV192*'Paramètres'!$B$4+AW192)</x:f>
      </x:c>
      <x:c r="AY192" s="25"/>
      <x:c r="AZ192" s="25"/>
      <x:c r="BA192" s="25"/>
    </x:row>
    <x:row r="193">
      <x:c r="A193" s="78" t="str">
        <x:f>IF(B193="","",ROW()-5)</x:f>
      </x:c>
      <x:c r="B193" s="80"/>
      <x:c r="C193" s="78" t="str">
        <x:f>IF(B193="","",YEAR(B193))</x:f>
      </x:c>
      <x:c r="D193" s="78" t="str">
        <x:f>IF(B193="","",CHOOSE(MONTH(B193),"Janvier","Février","Mars","Avril","Mai","Juin","Juillet","Août","Septembre","Octobre","Novembre","Décembre"))</x:f>
      </x:c>
      <x:c r="E193" s="78" t="str">
        <x:f>IF(B193="","",WEEKNUM(B193,2))</x:f>
      </x:c>
      <x:c r="F193" s="78" t="str">
        <x:f>IF(B193="","",CHOOSE(WEEKDAY(B193,2),"Lundi","Mardi","Mercredi","Jeudi","Vendredi","Samedi","Dimanche"))</x:f>
      </x:c>
      <x:c r="G193" s="82"/>
      <x:c r="H193" s="78" t="str">
        <x:f>IF(G193="","",IF(G193&lt;TIME(11,0,0),"Matin",IF(G193&lt;TIME(15,0,0),"Midi",IF(G193&lt;TIME(18,0,0),"Après-midi","Soir"))))</x:f>
      </x:c>
      <x:c r="I193" s="25"/>
      <x:c r="J193" s="25"/>
      <x:c r="K193" s="25"/>
      <x:c r="L193" s="25"/>
      <x:c r="M193" s="25"/>
      <x:c r="N193" s="25"/>
      <x:c r="O193" s="80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  <x:c r="AA193" s="25"/>
      <x:c r="AB193" s="25"/>
      <x:c r="AC193" s="92"/>
      <x:c r="AD193" s="92"/>
      <x:c r="AE193" s="92"/>
      <x:c r="AF193" s="92"/>
      <x:c r="AG193" s="92"/>
      <x:c r="AH193" s="92"/>
      <x:c r="AI193" s="92"/>
      <x:c r="AJ193" s="92"/>
      <x:c r="AK193" s="94" t="str">
        <x:f>IF(B193="","",SUM(AG193:AJ193))</x:f>
      </x:c>
      <x:c r="AL193" s="84" t="n">
        <x:f>IFERROR(AK193/AD193,0)</x:f>
        <x:v>0</x:v>
      </x:c>
      <x:c r="AM193" s="92"/>
      <x:c r="AN193" s="92"/>
      <x:c r="AO193" s="92"/>
      <x:c r="AP193" s="92"/>
      <x:c r="AQ193" s="25"/>
      <x:c r="AR193" s="25"/>
      <x:c r="AS193" s="86"/>
      <x:c r="AT193" s="86"/>
      <x:c r="AU193" s="86"/>
      <x:c r="AV193" s="90"/>
      <x:c r="AW193" s="86"/>
      <x:c r="AX193" s="88" t="str">
        <x:f>IF(B193="","",AV193*'Paramètres'!$B$4+AW193)</x:f>
      </x:c>
      <x:c r="AY193" s="25"/>
      <x:c r="AZ193" s="25"/>
      <x:c r="BA193" s="25"/>
    </x:row>
    <x:row r="194">
      <x:c r="A194" s="78" t="str">
        <x:f>IF(B194="","",ROW()-5)</x:f>
      </x:c>
      <x:c r="B194" s="80"/>
      <x:c r="C194" s="78" t="str">
        <x:f>IF(B194="","",YEAR(B194))</x:f>
      </x:c>
      <x:c r="D194" s="78" t="str">
        <x:f>IF(B194="","",CHOOSE(MONTH(B194),"Janvier","Février","Mars","Avril","Mai","Juin","Juillet","Août","Septembre","Octobre","Novembre","Décembre"))</x:f>
      </x:c>
      <x:c r="E194" s="78" t="str">
        <x:f>IF(B194="","",WEEKNUM(B194,2))</x:f>
      </x:c>
      <x:c r="F194" s="78" t="str">
        <x:f>IF(B194="","",CHOOSE(WEEKDAY(B194,2),"Lundi","Mardi","Mercredi","Jeudi","Vendredi","Samedi","Dimanche"))</x:f>
      </x:c>
      <x:c r="G194" s="82"/>
      <x:c r="H194" s="78" t="str">
        <x:f>IF(G194="","",IF(G194&lt;TIME(11,0,0),"Matin",IF(G194&lt;TIME(15,0,0),"Midi",IF(G194&lt;TIME(18,0,0),"Après-midi","Soir"))))</x:f>
      </x:c>
      <x:c r="I194" s="25"/>
      <x:c r="J194" s="25"/>
      <x:c r="K194" s="25"/>
      <x:c r="L194" s="25"/>
      <x:c r="M194" s="25"/>
      <x:c r="N194" s="25"/>
      <x:c r="O194" s="80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  <x:c r="AA194" s="25"/>
      <x:c r="AB194" s="25"/>
      <x:c r="AC194" s="92"/>
      <x:c r="AD194" s="92"/>
      <x:c r="AE194" s="92"/>
      <x:c r="AF194" s="92"/>
      <x:c r="AG194" s="92"/>
      <x:c r="AH194" s="92"/>
      <x:c r="AI194" s="92"/>
      <x:c r="AJ194" s="92"/>
      <x:c r="AK194" s="94" t="str">
        <x:f>IF(B194="","",SUM(AG194:AJ194))</x:f>
      </x:c>
      <x:c r="AL194" s="84" t="n">
        <x:f>IFERROR(AK194/AD194,0)</x:f>
        <x:v>0</x:v>
      </x:c>
      <x:c r="AM194" s="92"/>
      <x:c r="AN194" s="92"/>
      <x:c r="AO194" s="92"/>
      <x:c r="AP194" s="92"/>
      <x:c r="AQ194" s="25"/>
      <x:c r="AR194" s="25"/>
      <x:c r="AS194" s="86"/>
      <x:c r="AT194" s="86"/>
      <x:c r="AU194" s="86"/>
      <x:c r="AV194" s="90"/>
      <x:c r="AW194" s="86"/>
      <x:c r="AX194" s="88" t="str">
        <x:f>IF(B194="","",AV194*'Paramètres'!$B$4+AW194)</x:f>
      </x:c>
      <x:c r="AY194" s="25"/>
      <x:c r="AZ194" s="25"/>
      <x:c r="BA194" s="25"/>
    </x:row>
    <x:row r="195">
      <x:c r="A195" s="78" t="str">
        <x:f>IF(B195="","",ROW()-5)</x:f>
      </x:c>
      <x:c r="B195" s="80"/>
      <x:c r="C195" s="78" t="str">
        <x:f>IF(B195="","",YEAR(B195))</x:f>
      </x:c>
      <x:c r="D195" s="78" t="str">
        <x:f>IF(B195="","",CHOOSE(MONTH(B195),"Janvier","Février","Mars","Avril","Mai","Juin","Juillet","Août","Septembre","Octobre","Novembre","Décembre"))</x:f>
      </x:c>
      <x:c r="E195" s="78" t="str">
        <x:f>IF(B195="","",WEEKNUM(B195,2))</x:f>
      </x:c>
      <x:c r="F195" s="78" t="str">
        <x:f>IF(B195="","",CHOOSE(WEEKDAY(B195,2),"Lundi","Mardi","Mercredi","Jeudi","Vendredi","Samedi","Dimanche"))</x:f>
      </x:c>
      <x:c r="G195" s="82"/>
      <x:c r="H195" s="78" t="str">
        <x:f>IF(G195="","",IF(G195&lt;TIME(11,0,0),"Matin",IF(G195&lt;TIME(15,0,0),"Midi",IF(G195&lt;TIME(18,0,0),"Après-midi","Soir"))))</x:f>
      </x:c>
      <x:c r="I195" s="25"/>
      <x:c r="J195" s="25"/>
      <x:c r="K195" s="25"/>
      <x:c r="L195" s="25"/>
      <x:c r="M195" s="25"/>
      <x:c r="N195" s="25"/>
      <x:c r="O195" s="80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  <x:c r="AA195" s="25"/>
      <x:c r="AB195" s="25"/>
      <x:c r="AC195" s="92"/>
      <x:c r="AD195" s="92"/>
      <x:c r="AE195" s="92"/>
      <x:c r="AF195" s="92"/>
      <x:c r="AG195" s="92"/>
      <x:c r="AH195" s="92"/>
      <x:c r="AI195" s="92"/>
      <x:c r="AJ195" s="92"/>
      <x:c r="AK195" s="94" t="str">
        <x:f>IF(B195="","",SUM(AG195:AJ195))</x:f>
      </x:c>
      <x:c r="AL195" s="84" t="n">
        <x:f>IFERROR(AK195/AD195,0)</x:f>
        <x:v>0</x:v>
      </x:c>
      <x:c r="AM195" s="92"/>
      <x:c r="AN195" s="92"/>
      <x:c r="AO195" s="92"/>
      <x:c r="AP195" s="92"/>
      <x:c r="AQ195" s="25"/>
      <x:c r="AR195" s="25"/>
      <x:c r="AS195" s="86"/>
      <x:c r="AT195" s="86"/>
      <x:c r="AU195" s="86"/>
      <x:c r="AV195" s="90"/>
      <x:c r="AW195" s="86"/>
      <x:c r="AX195" s="88" t="str">
        <x:f>IF(B195="","",AV195*'Paramètres'!$B$4+AW195)</x:f>
      </x:c>
      <x:c r="AY195" s="25"/>
      <x:c r="AZ195" s="25"/>
      <x:c r="BA195" s="25"/>
    </x:row>
    <x:row r="196">
      <x:c r="A196" s="78" t="str">
        <x:f>IF(B196="","",ROW()-5)</x:f>
      </x:c>
      <x:c r="B196" s="80"/>
      <x:c r="C196" s="78" t="str">
        <x:f>IF(B196="","",YEAR(B196))</x:f>
      </x:c>
      <x:c r="D196" s="78" t="str">
        <x:f>IF(B196="","",CHOOSE(MONTH(B196),"Janvier","Février","Mars","Avril","Mai","Juin","Juillet","Août","Septembre","Octobre","Novembre","Décembre"))</x:f>
      </x:c>
      <x:c r="E196" s="78" t="str">
        <x:f>IF(B196="","",WEEKNUM(B196,2))</x:f>
      </x:c>
      <x:c r="F196" s="78" t="str">
        <x:f>IF(B196="","",CHOOSE(WEEKDAY(B196,2),"Lundi","Mardi","Mercredi","Jeudi","Vendredi","Samedi","Dimanche"))</x:f>
      </x:c>
      <x:c r="G196" s="82"/>
      <x:c r="H196" s="78" t="str">
        <x:f>IF(G196="","",IF(G196&lt;TIME(11,0,0),"Matin",IF(G196&lt;TIME(15,0,0),"Midi",IF(G196&lt;TIME(18,0,0),"Après-midi","Soir"))))</x:f>
      </x:c>
      <x:c r="I196" s="25"/>
      <x:c r="J196" s="25"/>
      <x:c r="K196" s="25"/>
      <x:c r="L196" s="25"/>
      <x:c r="M196" s="25"/>
      <x:c r="N196" s="25"/>
      <x:c r="O196" s="80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  <x:c r="AA196" s="25"/>
      <x:c r="AB196" s="25"/>
      <x:c r="AC196" s="92"/>
      <x:c r="AD196" s="92"/>
      <x:c r="AE196" s="92"/>
      <x:c r="AF196" s="92"/>
      <x:c r="AG196" s="92"/>
      <x:c r="AH196" s="92"/>
      <x:c r="AI196" s="92"/>
      <x:c r="AJ196" s="92"/>
      <x:c r="AK196" s="94" t="str">
        <x:f>IF(B196="","",SUM(AG196:AJ196))</x:f>
      </x:c>
      <x:c r="AL196" s="84" t="n">
        <x:f>IFERROR(AK196/AD196,0)</x:f>
        <x:v>0</x:v>
      </x:c>
      <x:c r="AM196" s="92"/>
      <x:c r="AN196" s="92"/>
      <x:c r="AO196" s="92"/>
      <x:c r="AP196" s="92"/>
      <x:c r="AQ196" s="25"/>
      <x:c r="AR196" s="25"/>
      <x:c r="AS196" s="86"/>
      <x:c r="AT196" s="86"/>
      <x:c r="AU196" s="86"/>
      <x:c r="AV196" s="90"/>
      <x:c r="AW196" s="86"/>
      <x:c r="AX196" s="88" t="str">
        <x:f>IF(B196="","",AV196*'Paramètres'!$B$4+AW196)</x:f>
      </x:c>
      <x:c r="AY196" s="25"/>
      <x:c r="AZ196" s="25"/>
      <x:c r="BA196" s="25"/>
    </x:row>
    <x:row r="197">
      <x:c r="A197" s="78" t="str">
        <x:f>IF(B197="","",ROW()-5)</x:f>
      </x:c>
      <x:c r="B197" s="80"/>
      <x:c r="C197" s="78" t="str">
        <x:f>IF(B197="","",YEAR(B197))</x:f>
      </x:c>
      <x:c r="D197" s="78" t="str">
        <x:f>IF(B197="","",CHOOSE(MONTH(B197),"Janvier","Février","Mars","Avril","Mai","Juin","Juillet","Août","Septembre","Octobre","Novembre","Décembre"))</x:f>
      </x:c>
      <x:c r="E197" s="78" t="str">
        <x:f>IF(B197="","",WEEKNUM(B197,2))</x:f>
      </x:c>
      <x:c r="F197" s="78" t="str">
        <x:f>IF(B197="","",CHOOSE(WEEKDAY(B197,2),"Lundi","Mardi","Mercredi","Jeudi","Vendredi","Samedi","Dimanche"))</x:f>
      </x:c>
      <x:c r="G197" s="82"/>
      <x:c r="H197" s="78" t="str">
        <x:f>IF(G197="","",IF(G197&lt;TIME(11,0,0),"Matin",IF(G197&lt;TIME(15,0,0),"Midi",IF(G197&lt;TIME(18,0,0),"Après-midi","Soir"))))</x:f>
      </x:c>
      <x:c r="I197" s="25"/>
      <x:c r="J197" s="25"/>
      <x:c r="K197" s="25"/>
      <x:c r="L197" s="25"/>
      <x:c r="M197" s="25"/>
      <x:c r="N197" s="25"/>
      <x:c r="O197" s="80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  <x:c r="AA197" s="25"/>
      <x:c r="AB197" s="25"/>
      <x:c r="AC197" s="92"/>
      <x:c r="AD197" s="92"/>
      <x:c r="AE197" s="92"/>
      <x:c r="AF197" s="92"/>
      <x:c r="AG197" s="92"/>
      <x:c r="AH197" s="92"/>
      <x:c r="AI197" s="92"/>
      <x:c r="AJ197" s="92"/>
      <x:c r="AK197" s="94" t="str">
        <x:f>IF(B197="","",SUM(AG197:AJ197))</x:f>
      </x:c>
      <x:c r="AL197" s="84" t="n">
        <x:f>IFERROR(AK197/AD197,0)</x:f>
        <x:v>0</x:v>
      </x:c>
      <x:c r="AM197" s="92"/>
      <x:c r="AN197" s="92"/>
      <x:c r="AO197" s="92"/>
      <x:c r="AP197" s="92"/>
      <x:c r="AQ197" s="25"/>
      <x:c r="AR197" s="25"/>
      <x:c r="AS197" s="86"/>
      <x:c r="AT197" s="86"/>
      <x:c r="AU197" s="86"/>
      <x:c r="AV197" s="90"/>
      <x:c r="AW197" s="86"/>
      <x:c r="AX197" s="88" t="str">
        <x:f>IF(B197="","",AV197*'Paramètres'!$B$4+AW197)</x:f>
      </x:c>
      <x:c r="AY197" s="25"/>
      <x:c r="AZ197" s="25"/>
      <x:c r="BA197" s="25"/>
    </x:row>
    <x:row r="198">
      <x:c r="A198" s="78" t="str">
        <x:f>IF(B198="","",ROW()-5)</x:f>
      </x:c>
      <x:c r="B198" s="80"/>
      <x:c r="C198" s="78" t="str">
        <x:f>IF(B198="","",YEAR(B198))</x:f>
      </x:c>
      <x:c r="D198" s="78" t="str">
        <x:f>IF(B198="","",CHOOSE(MONTH(B198),"Janvier","Février","Mars","Avril","Mai","Juin","Juillet","Août","Septembre","Octobre","Novembre","Décembre"))</x:f>
      </x:c>
      <x:c r="E198" s="78" t="str">
        <x:f>IF(B198="","",WEEKNUM(B198,2))</x:f>
      </x:c>
      <x:c r="F198" s="78" t="str">
        <x:f>IF(B198="","",CHOOSE(WEEKDAY(B198,2),"Lundi","Mardi","Mercredi","Jeudi","Vendredi","Samedi","Dimanche"))</x:f>
      </x:c>
      <x:c r="G198" s="82"/>
      <x:c r="H198" s="78" t="str">
        <x:f>IF(G198="","",IF(G198&lt;TIME(11,0,0),"Matin",IF(G198&lt;TIME(15,0,0),"Midi",IF(G198&lt;TIME(18,0,0),"Après-midi","Soir"))))</x:f>
      </x:c>
      <x:c r="I198" s="25"/>
      <x:c r="J198" s="25"/>
      <x:c r="K198" s="25"/>
      <x:c r="L198" s="25"/>
      <x:c r="M198" s="25"/>
      <x:c r="N198" s="25"/>
      <x:c r="O198" s="80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  <x:c r="AA198" s="25"/>
      <x:c r="AB198" s="25"/>
      <x:c r="AC198" s="92"/>
      <x:c r="AD198" s="92"/>
      <x:c r="AE198" s="92"/>
      <x:c r="AF198" s="92"/>
      <x:c r="AG198" s="92"/>
      <x:c r="AH198" s="92"/>
      <x:c r="AI198" s="92"/>
      <x:c r="AJ198" s="92"/>
      <x:c r="AK198" s="94" t="str">
        <x:f>IF(B198="","",SUM(AG198:AJ198))</x:f>
      </x:c>
      <x:c r="AL198" s="84" t="n">
        <x:f>IFERROR(AK198/AD198,0)</x:f>
        <x:v>0</x:v>
      </x:c>
      <x:c r="AM198" s="92"/>
      <x:c r="AN198" s="92"/>
      <x:c r="AO198" s="92"/>
      <x:c r="AP198" s="92"/>
      <x:c r="AQ198" s="25"/>
      <x:c r="AR198" s="25"/>
      <x:c r="AS198" s="86"/>
      <x:c r="AT198" s="86"/>
      <x:c r="AU198" s="86"/>
      <x:c r="AV198" s="90"/>
      <x:c r="AW198" s="86"/>
      <x:c r="AX198" s="88" t="str">
        <x:f>IF(B198="","",AV198*'Paramètres'!$B$4+AW198)</x:f>
      </x:c>
      <x:c r="AY198" s="25"/>
      <x:c r="AZ198" s="25"/>
      <x:c r="BA198" s="25"/>
    </x:row>
    <x:row r="199">
      <x:c r="A199" s="78" t="str">
        <x:f>IF(B199="","",ROW()-5)</x:f>
      </x:c>
      <x:c r="B199" s="80"/>
      <x:c r="C199" s="78" t="str">
        <x:f>IF(B199="","",YEAR(B199))</x:f>
      </x:c>
      <x:c r="D199" s="78" t="str">
        <x:f>IF(B199="","",CHOOSE(MONTH(B199),"Janvier","Février","Mars","Avril","Mai","Juin","Juillet","Août","Septembre","Octobre","Novembre","Décembre"))</x:f>
      </x:c>
      <x:c r="E199" s="78" t="str">
        <x:f>IF(B199="","",WEEKNUM(B199,2))</x:f>
      </x:c>
      <x:c r="F199" s="78" t="str">
        <x:f>IF(B199="","",CHOOSE(WEEKDAY(B199,2),"Lundi","Mardi","Mercredi","Jeudi","Vendredi","Samedi","Dimanche"))</x:f>
      </x:c>
      <x:c r="G199" s="82"/>
      <x:c r="H199" s="78" t="str">
        <x:f>IF(G199="","",IF(G199&lt;TIME(11,0,0),"Matin",IF(G199&lt;TIME(15,0,0),"Midi",IF(G199&lt;TIME(18,0,0),"Après-midi","Soir"))))</x:f>
      </x:c>
      <x:c r="I199" s="25"/>
      <x:c r="J199" s="25"/>
      <x:c r="K199" s="25"/>
      <x:c r="L199" s="25"/>
      <x:c r="M199" s="25"/>
      <x:c r="N199" s="25"/>
      <x:c r="O199" s="80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  <x:c r="AA199" s="25"/>
      <x:c r="AB199" s="25"/>
      <x:c r="AC199" s="92"/>
      <x:c r="AD199" s="92"/>
      <x:c r="AE199" s="92"/>
      <x:c r="AF199" s="92"/>
      <x:c r="AG199" s="92"/>
      <x:c r="AH199" s="92"/>
      <x:c r="AI199" s="92"/>
      <x:c r="AJ199" s="92"/>
      <x:c r="AK199" s="94" t="str">
        <x:f>IF(B199="","",SUM(AG199:AJ199))</x:f>
      </x:c>
      <x:c r="AL199" s="84" t="n">
        <x:f>IFERROR(AK199/AD199,0)</x:f>
        <x:v>0</x:v>
      </x:c>
      <x:c r="AM199" s="92"/>
      <x:c r="AN199" s="92"/>
      <x:c r="AO199" s="92"/>
      <x:c r="AP199" s="92"/>
      <x:c r="AQ199" s="25"/>
      <x:c r="AR199" s="25"/>
      <x:c r="AS199" s="86"/>
      <x:c r="AT199" s="86"/>
      <x:c r="AU199" s="86"/>
      <x:c r="AV199" s="90"/>
      <x:c r="AW199" s="86"/>
      <x:c r="AX199" s="88" t="str">
        <x:f>IF(B199="","",AV199*'Paramètres'!$B$4+AW199)</x:f>
      </x:c>
      <x:c r="AY199" s="25"/>
      <x:c r="AZ199" s="25"/>
      <x:c r="BA199" s="25"/>
    </x:row>
    <x:row r="200">
      <x:c r="A200" s="78" t="str">
        <x:f>IF(B200="","",ROW()-5)</x:f>
      </x:c>
      <x:c r="B200" s="80"/>
      <x:c r="C200" s="78" t="str">
        <x:f>IF(B200="","",YEAR(B200))</x:f>
      </x:c>
      <x:c r="D200" s="78" t="str">
        <x:f>IF(B200="","",CHOOSE(MONTH(B200),"Janvier","Février","Mars","Avril","Mai","Juin","Juillet","Août","Septembre","Octobre","Novembre","Décembre"))</x:f>
      </x:c>
      <x:c r="E200" s="78" t="str">
        <x:f>IF(B200="","",WEEKNUM(B200,2))</x:f>
      </x:c>
      <x:c r="F200" s="78" t="str">
        <x:f>IF(B200="","",CHOOSE(WEEKDAY(B200,2),"Lundi","Mardi","Mercredi","Jeudi","Vendredi","Samedi","Dimanche"))</x:f>
      </x:c>
      <x:c r="G200" s="82"/>
      <x:c r="H200" s="78" t="str">
        <x:f>IF(G200="","",IF(G200&lt;TIME(11,0,0),"Matin",IF(G200&lt;TIME(15,0,0),"Midi",IF(G200&lt;TIME(18,0,0),"Après-midi","Soir"))))</x:f>
      </x:c>
      <x:c r="I200" s="25"/>
      <x:c r="J200" s="25"/>
      <x:c r="K200" s="25"/>
      <x:c r="L200" s="25"/>
      <x:c r="M200" s="25"/>
      <x:c r="N200" s="25"/>
      <x:c r="O200" s="80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  <x:c r="AA200" s="25"/>
      <x:c r="AB200" s="25"/>
      <x:c r="AC200" s="92"/>
      <x:c r="AD200" s="92"/>
      <x:c r="AE200" s="92"/>
      <x:c r="AF200" s="92"/>
      <x:c r="AG200" s="92"/>
      <x:c r="AH200" s="92"/>
      <x:c r="AI200" s="92"/>
      <x:c r="AJ200" s="92"/>
      <x:c r="AK200" s="94" t="str">
        <x:f>IF(B200="","",SUM(AG200:AJ200))</x:f>
      </x:c>
      <x:c r="AL200" s="84" t="n">
        <x:f>IFERROR(AK200/AD200,0)</x:f>
        <x:v>0</x:v>
      </x:c>
      <x:c r="AM200" s="92"/>
      <x:c r="AN200" s="92"/>
      <x:c r="AO200" s="92"/>
      <x:c r="AP200" s="92"/>
      <x:c r="AQ200" s="25"/>
      <x:c r="AR200" s="25"/>
      <x:c r="AS200" s="86"/>
      <x:c r="AT200" s="86"/>
      <x:c r="AU200" s="86"/>
      <x:c r="AV200" s="90"/>
      <x:c r="AW200" s="86"/>
      <x:c r="AX200" s="88" t="str">
        <x:f>IF(B200="","",AV200*'Paramètres'!$B$4+AW200)</x:f>
      </x:c>
      <x:c r="AY200" s="25"/>
      <x:c r="AZ200" s="25"/>
      <x:c r="BA200" s="25"/>
    </x:row>
    <x:row r="201">
      <x:c r="A201" s="78" t="str">
        <x:f>IF(B201="","",ROW()-5)</x:f>
      </x:c>
      <x:c r="B201" s="80"/>
      <x:c r="C201" s="78" t="str">
        <x:f>IF(B201="","",YEAR(B201))</x:f>
      </x:c>
      <x:c r="D201" s="78" t="str">
        <x:f>IF(B201="","",CHOOSE(MONTH(B201),"Janvier","Février","Mars","Avril","Mai","Juin","Juillet","Août","Septembre","Octobre","Novembre","Décembre"))</x:f>
      </x:c>
      <x:c r="E201" s="78" t="str">
        <x:f>IF(B201="","",WEEKNUM(B201,2))</x:f>
      </x:c>
      <x:c r="F201" s="78" t="str">
        <x:f>IF(B201="","",CHOOSE(WEEKDAY(B201,2),"Lundi","Mardi","Mercredi","Jeudi","Vendredi","Samedi","Dimanche"))</x:f>
      </x:c>
      <x:c r="G201" s="82"/>
      <x:c r="H201" s="78" t="str">
        <x:f>IF(G201="","",IF(G201&lt;TIME(11,0,0),"Matin",IF(G201&lt;TIME(15,0,0),"Midi",IF(G201&lt;TIME(18,0,0),"Après-midi","Soir"))))</x:f>
      </x:c>
      <x:c r="I201" s="25"/>
      <x:c r="J201" s="25"/>
      <x:c r="K201" s="25"/>
      <x:c r="L201" s="25"/>
      <x:c r="M201" s="25"/>
      <x:c r="N201" s="25"/>
      <x:c r="O201" s="80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  <x:c r="AA201" s="25"/>
      <x:c r="AB201" s="25"/>
      <x:c r="AC201" s="92"/>
      <x:c r="AD201" s="92"/>
      <x:c r="AE201" s="92"/>
      <x:c r="AF201" s="92"/>
      <x:c r="AG201" s="92"/>
      <x:c r="AH201" s="92"/>
      <x:c r="AI201" s="92"/>
      <x:c r="AJ201" s="92"/>
      <x:c r="AK201" s="94" t="str">
        <x:f>IF(B201="","",SUM(AG201:AJ201))</x:f>
      </x:c>
      <x:c r="AL201" s="84" t="n">
        <x:f>IFERROR(AK201/AD201,0)</x:f>
        <x:v>0</x:v>
      </x:c>
      <x:c r="AM201" s="92"/>
      <x:c r="AN201" s="92"/>
      <x:c r="AO201" s="92"/>
      <x:c r="AP201" s="92"/>
      <x:c r="AQ201" s="25"/>
      <x:c r="AR201" s="25"/>
      <x:c r="AS201" s="86"/>
      <x:c r="AT201" s="86"/>
      <x:c r="AU201" s="86"/>
      <x:c r="AV201" s="90"/>
      <x:c r="AW201" s="86"/>
      <x:c r="AX201" s="88" t="str">
        <x:f>IF(B201="","",AV201*'Paramètres'!$B$4+AW201)</x:f>
      </x:c>
      <x:c r="AY201" s="25"/>
      <x:c r="AZ201" s="25"/>
      <x:c r="BA201" s="25"/>
    </x:row>
    <x:row r="202">
      <x:c r="A202" s="78" t="str">
        <x:f>IF(B202="","",ROW()-5)</x:f>
      </x:c>
      <x:c r="B202" s="80"/>
      <x:c r="C202" s="78" t="str">
        <x:f>IF(B202="","",YEAR(B202))</x:f>
      </x:c>
      <x:c r="D202" s="78" t="str">
        <x:f>IF(B202="","",CHOOSE(MONTH(B202),"Janvier","Février","Mars","Avril","Mai","Juin","Juillet","Août","Septembre","Octobre","Novembre","Décembre"))</x:f>
      </x:c>
      <x:c r="E202" s="78" t="str">
        <x:f>IF(B202="","",WEEKNUM(B202,2))</x:f>
      </x:c>
      <x:c r="F202" s="78" t="str">
        <x:f>IF(B202="","",CHOOSE(WEEKDAY(B202,2),"Lundi","Mardi","Mercredi","Jeudi","Vendredi","Samedi","Dimanche"))</x:f>
      </x:c>
      <x:c r="G202" s="82"/>
      <x:c r="H202" s="78" t="str">
        <x:f>IF(G202="","",IF(G202&lt;TIME(11,0,0),"Matin",IF(G202&lt;TIME(15,0,0),"Midi",IF(G202&lt;TIME(18,0,0),"Après-midi","Soir"))))</x:f>
      </x:c>
      <x:c r="I202" s="25"/>
      <x:c r="J202" s="25"/>
      <x:c r="K202" s="25"/>
      <x:c r="L202" s="25"/>
      <x:c r="M202" s="25"/>
      <x:c r="N202" s="25"/>
      <x:c r="O202" s="80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  <x:c r="AA202" s="25"/>
      <x:c r="AB202" s="25"/>
      <x:c r="AC202" s="92"/>
      <x:c r="AD202" s="92"/>
      <x:c r="AE202" s="92"/>
      <x:c r="AF202" s="92"/>
      <x:c r="AG202" s="92"/>
      <x:c r="AH202" s="92"/>
      <x:c r="AI202" s="92"/>
      <x:c r="AJ202" s="92"/>
      <x:c r="AK202" s="94" t="str">
        <x:f>IF(B202="","",SUM(AG202:AJ202))</x:f>
      </x:c>
      <x:c r="AL202" s="84" t="n">
        <x:f>IFERROR(AK202/AD202,0)</x:f>
        <x:v>0</x:v>
      </x:c>
      <x:c r="AM202" s="92"/>
      <x:c r="AN202" s="92"/>
      <x:c r="AO202" s="92"/>
      <x:c r="AP202" s="92"/>
      <x:c r="AQ202" s="25"/>
      <x:c r="AR202" s="25"/>
      <x:c r="AS202" s="86"/>
      <x:c r="AT202" s="86"/>
      <x:c r="AU202" s="86"/>
      <x:c r="AV202" s="90"/>
      <x:c r="AW202" s="86"/>
      <x:c r="AX202" s="88" t="str">
        <x:f>IF(B202="","",AV202*'Paramètres'!$B$4+AW202)</x:f>
      </x:c>
      <x:c r="AY202" s="25"/>
      <x:c r="AZ202" s="25"/>
      <x:c r="BA202" s="25"/>
    </x:row>
    <x:row r="203">
      <x:c r="A203" s="78" t="str">
        <x:f>IF(B203="","",ROW()-5)</x:f>
      </x:c>
      <x:c r="B203" s="80"/>
      <x:c r="C203" s="78" t="str">
        <x:f>IF(B203="","",YEAR(B203))</x:f>
      </x:c>
      <x:c r="D203" s="78" t="str">
        <x:f>IF(B203="","",CHOOSE(MONTH(B203),"Janvier","Février","Mars","Avril","Mai","Juin","Juillet","Août","Septembre","Octobre","Novembre","Décembre"))</x:f>
      </x:c>
      <x:c r="E203" s="78" t="str">
        <x:f>IF(B203="","",WEEKNUM(B203,2))</x:f>
      </x:c>
      <x:c r="F203" s="78" t="str">
        <x:f>IF(B203="","",CHOOSE(WEEKDAY(B203,2),"Lundi","Mardi","Mercredi","Jeudi","Vendredi","Samedi","Dimanche"))</x:f>
      </x:c>
      <x:c r="G203" s="82"/>
      <x:c r="H203" s="78" t="str">
        <x:f>IF(G203="","",IF(G203&lt;TIME(11,0,0),"Matin",IF(G203&lt;TIME(15,0,0),"Midi",IF(G203&lt;TIME(18,0,0),"Après-midi","Soir"))))</x:f>
      </x:c>
      <x:c r="I203" s="25"/>
      <x:c r="J203" s="25"/>
      <x:c r="K203" s="25"/>
      <x:c r="L203" s="25"/>
      <x:c r="M203" s="25"/>
      <x:c r="N203" s="25"/>
      <x:c r="O203" s="80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  <x:c r="AA203" s="25"/>
      <x:c r="AB203" s="25"/>
      <x:c r="AC203" s="92"/>
      <x:c r="AD203" s="92"/>
      <x:c r="AE203" s="92"/>
      <x:c r="AF203" s="92"/>
      <x:c r="AG203" s="92"/>
      <x:c r="AH203" s="92"/>
      <x:c r="AI203" s="92"/>
      <x:c r="AJ203" s="92"/>
      <x:c r="AK203" s="94" t="str">
        <x:f>IF(B203="","",SUM(AG203:AJ203))</x:f>
      </x:c>
      <x:c r="AL203" s="84" t="n">
        <x:f>IFERROR(AK203/AD203,0)</x:f>
        <x:v>0</x:v>
      </x:c>
      <x:c r="AM203" s="92"/>
      <x:c r="AN203" s="92"/>
      <x:c r="AO203" s="92"/>
      <x:c r="AP203" s="92"/>
      <x:c r="AQ203" s="25"/>
      <x:c r="AR203" s="25"/>
      <x:c r="AS203" s="86"/>
      <x:c r="AT203" s="86"/>
      <x:c r="AU203" s="86"/>
      <x:c r="AV203" s="90"/>
      <x:c r="AW203" s="86"/>
      <x:c r="AX203" s="88" t="str">
        <x:f>IF(B203="","",AV203*'Paramètres'!$B$4+AW203)</x:f>
      </x:c>
      <x:c r="AY203" s="25"/>
      <x:c r="AZ203" s="25"/>
      <x:c r="BA203" s="25"/>
    </x:row>
    <x:row r="204">
      <x:c r="A204" s="78" t="str">
        <x:f>IF(B204="","",ROW()-5)</x:f>
      </x:c>
      <x:c r="B204" s="80"/>
      <x:c r="C204" s="78" t="str">
        <x:f>IF(B204="","",YEAR(B204))</x:f>
      </x:c>
      <x:c r="D204" s="78" t="str">
        <x:f>IF(B204="","",CHOOSE(MONTH(B204),"Janvier","Février","Mars","Avril","Mai","Juin","Juillet","Août","Septembre","Octobre","Novembre","Décembre"))</x:f>
      </x:c>
      <x:c r="E204" s="78" t="str">
        <x:f>IF(B204="","",WEEKNUM(B204,2))</x:f>
      </x:c>
      <x:c r="F204" s="78" t="str">
        <x:f>IF(B204="","",CHOOSE(WEEKDAY(B204,2),"Lundi","Mardi","Mercredi","Jeudi","Vendredi","Samedi","Dimanche"))</x:f>
      </x:c>
      <x:c r="G204" s="82"/>
      <x:c r="H204" s="78" t="str">
        <x:f>IF(G204="","",IF(G204&lt;TIME(11,0,0),"Matin",IF(G204&lt;TIME(15,0,0),"Midi",IF(G204&lt;TIME(18,0,0),"Après-midi","Soir"))))</x:f>
      </x:c>
      <x:c r="I204" s="25"/>
      <x:c r="J204" s="25"/>
      <x:c r="K204" s="25"/>
      <x:c r="L204" s="25"/>
      <x:c r="M204" s="25"/>
      <x:c r="N204" s="25"/>
      <x:c r="O204" s="80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  <x:c r="AA204" s="25"/>
      <x:c r="AB204" s="25"/>
      <x:c r="AC204" s="92"/>
      <x:c r="AD204" s="92"/>
      <x:c r="AE204" s="92"/>
      <x:c r="AF204" s="92"/>
      <x:c r="AG204" s="92"/>
      <x:c r="AH204" s="92"/>
      <x:c r="AI204" s="92"/>
      <x:c r="AJ204" s="92"/>
      <x:c r="AK204" s="94" t="str">
        <x:f>IF(B204="","",SUM(AG204:AJ204))</x:f>
      </x:c>
      <x:c r="AL204" s="84" t="n">
        <x:f>IFERROR(AK204/AD204,0)</x:f>
        <x:v>0</x:v>
      </x:c>
      <x:c r="AM204" s="92"/>
      <x:c r="AN204" s="92"/>
      <x:c r="AO204" s="92"/>
      <x:c r="AP204" s="92"/>
      <x:c r="AQ204" s="25"/>
      <x:c r="AR204" s="25"/>
      <x:c r="AS204" s="86"/>
      <x:c r="AT204" s="86"/>
      <x:c r="AU204" s="86"/>
      <x:c r="AV204" s="90"/>
      <x:c r="AW204" s="86"/>
      <x:c r="AX204" s="88" t="str">
        <x:f>IF(B204="","",AV204*'Paramètres'!$B$4+AW204)</x:f>
      </x:c>
      <x:c r="AY204" s="25"/>
      <x:c r="AZ204" s="25"/>
      <x:c r="BA204" s="25"/>
    </x:row>
    <x:row r="205">
      <x:c r="A205" s="78" t="str">
        <x:f>IF(B205="","",ROW()-5)</x:f>
      </x:c>
      <x:c r="B205" s="80"/>
      <x:c r="C205" s="78" t="str">
        <x:f>IF(B205="","",YEAR(B205))</x:f>
      </x:c>
      <x:c r="D205" s="78" t="str">
        <x:f>IF(B205="","",CHOOSE(MONTH(B205),"Janvier","Février","Mars","Avril","Mai","Juin","Juillet","Août","Septembre","Octobre","Novembre","Décembre"))</x:f>
      </x:c>
      <x:c r="E205" s="78" t="str">
        <x:f>IF(B205="","",WEEKNUM(B205,2))</x:f>
      </x:c>
      <x:c r="F205" s="78" t="str">
        <x:f>IF(B205="","",CHOOSE(WEEKDAY(B205,2),"Lundi","Mardi","Mercredi","Jeudi","Vendredi","Samedi","Dimanche"))</x:f>
      </x:c>
      <x:c r="G205" s="82"/>
      <x:c r="H205" s="78" t="str">
        <x:f>IF(G205="","",IF(G205&lt;TIME(11,0,0),"Matin",IF(G205&lt;TIME(15,0,0),"Midi",IF(G205&lt;TIME(18,0,0),"Après-midi","Soir"))))</x:f>
      </x:c>
      <x:c r="I205" s="25"/>
      <x:c r="J205" s="25"/>
      <x:c r="K205" s="25"/>
      <x:c r="L205" s="25"/>
      <x:c r="M205" s="25"/>
      <x:c r="N205" s="25"/>
      <x:c r="O205" s="80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  <x:c r="AA205" s="25"/>
      <x:c r="AB205" s="25"/>
      <x:c r="AC205" s="92"/>
      <x:c r="AD205" s="92"/>
      <x:c r="AE205" s="92"/>
      <x:c r="AF205" s="92"/>
      <x:c r="AG205" s="92"/>
      <x:c r="AH205" s="92"/>
      <x:c r="AI205" s="92"/>
      <x:c r="AJ205" s="92"/>
      <x:c r="AK205" s="94" t="str">
        <x:f>IF(B205="","",SUM(AG205:AJ205))</x:f>
      </x:c>
      <x:c r="AL205" s="84" t="n">
        <x:f>IFERROR(AK205/AD205,0)</x:f>
        <x:v>0</x:v>
      </x:c>
      <x:c r="AM205" s="92"/>
      <x:c r="AN205" s="92"/>
      <x:c r="AO205" s="92"/>
      <x:c r="AP205" s="92"/>
      <x:c r="AQ205" s="25"/>
      <x:c r="AR205" s="25"/>
      <x:c r="AS205" s="86"/>
      <x:c r="AT205" s="86"/>
      <x:c r="AU205" s="86"/>
      <x:c r="AV205" s="90"/>
      <x:c r="AW205" s="86"/>
      <x:c r="AX205" s="88" t="str">
        <x:f>IF(B205="","",AV205*'Paramètres'!$B$4+AW205)</x:f>
      </x:c>
      <x:c r="AY205" s="25"/>
      <x:c r="AZ205" s="25"/>
      <x:c r="BA205" s="25"/>
    </x:row>
  </x:sheetData>
  <x:mergeCells>
    <x:mergeCell ref="A1:BA1"/>
    <x:mergeCell ref="A2:BA2"/>
    <x:mergeCell ref="A4:H4"/>
    <x:mergeCell ref="I4:O4"/>
    <x:mergeCell ref="P4:X4"/>
    <x:mergeCell ref="Y4:AB4"/>
    <x:mergeCell ref="AC4:AN4"/>
    <x:mergeCell ref="AO4:AU4"/>
    <x:mergeCell ref="AV4:AX4"/>
    <x:mergeCell ref="AY4:BA4"/>
  </x:mergeCells>
  <x:conditionalFormatting sqref="J6:J205">
    <x:cfRule type="expression" dxfId="0" priority="1">
      <x:formula>J6="Publiée"</x:formula>
    </x:cfRule>
    <x:cfRule type="expression" dxfId="1" priority="2">
      <x:formula>J6="À valider"</x:formula>
    </x:cfRule>
  </x:conditionalFormatting>
  <x:conditionalFormatting sqref="BA6:BA205">
    <x:cfRule type="expression" dxfId="2" priority="3">
      <x:formula>BA6="À reproduire"</x:formula>
    </x:cfRule>
    <x:cfRule type="expression" dxfId="3" priority="4">
      <x:formula>BA6="À abandonner"</x:formula>
    </x:cfRule>
  </x:conditionalFormatting>
  <x:conditionalFormatting sqref="AL6:AL205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{8C4C1646-AFD0-C122-E735-10ECC7AE1156}</x14:id>
        </x:ext>
      </x:extLst>
    </x:cfRule>
  </x:conditionalFormatting>
  <x:dataValidations count="15">
    <x:dataValidation type="list" sqref="I6:I205">
      <x:formula1>"Facebook,Instagram,TikTok,YouTube"</x:formula1>
    </x:dataValidation>
    <x:dataValidation type="list" sqref="J6:J205">
      <x:formula1>"À préparer,En rédaction,À valider,Programmée,Publiée,Reportée"</x:formula1>
    </x:dataValidation>
    <x:dataValidation type="list" sqref="L6:L205">
      <x:formula1>"Oui,Non"</x:formula1>
    </x:dataValidation>
    <x:dataValidation type="list" sqref="M6:M205">
      <x:formula1>"Oui,Non,À vérifier"</x:formula1>
    </x:dataValidation>
    <x:dataValidation type="list" sqref="P6:P205">
      <x:formula1>"Visibilité,Notoriété,Promotion,Recrutement,Fidélisation"</x:formula1>
    </x:dataValidation>
    <x:dataValidation type="list" sqref="Q6:Q205">
      <x:formula1>"Générer des contacts,Signer des lettres de mission,Vendre une mission ponctuelle,Recruter,Fidéliser,Développer la notoriété,Informer les clients"</x:formula1>
    </x:dataValidation>
    <x:dataValidation type="list" sqref="R6:R205">
      <x:formula1>"Chaud,Froid"</x:formula1>
    </x:dataValidation>
    <x:dataValidation type="list" sqref="S6:S205">
      <x:formula1>"Métier,Vie du cabinet,Actualité,Valeurs"</x:formula1>
    </x:dataValidation>
    <x:dataValidation type="list" sqref="T6:T205">
      <x:formula1>"Éduquer,Inspirer,Promouvoir,Divertir"</x:formula1>
    </x:dataValidation>
    <x:dataValidation type="list" sqref="U6:U205">
      <x:formula1>"See,Think,Do"</x:formula1>
    </x:dataValidation>
    <x:dataValidation type="list" sqref="V6:V205">
      <x:formula1>"Donner pour recevoir,Storytelling,Contenu pilier,Recyclage,Actualité réactive,Coulisses"</x:formula1>
    </x:dataValidation>
    <x:dataValidation type="list" sqref="W6:W205">
      <x:formula1>"Post texte,Image,Carrousel,Story,Reel / vidéo courte,Vidéo longue,Live,FAQ"</x:formula1>
    </x:dataValidation>
    <x:dataValidation type="list" sqref="AQ6:AQ205">
      <x:formula1>"Oui,Non,Sans objet"</x:formula1>
    </x:dataValidation>
    <x:dataValidation type="list" sqref="AR6:AR205">
      <x:formula1>"Récurrente,Exceptionnelle,Sans objet"</x:formula1>
    </x:dataValidation>
    <x:dataValidation type="list" sqref="BA6:BA205">
      <x:formula1>"À tester,À reproduire,À ajuster,À abandonner"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8C4C1646-AFD0-C122-E735-10ECC7AE1156}">
            <x14:dataBar gradient="1">
              <x14:cfvo type="min"/>
              <x14:cfvo type="max"/>
              <x14:fillColor rgb="FF5B9BD5"/>
            </x14:dataBar>
          </x14:cfRule>
          <xm:sqref>AL6:AL205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2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30" customHeight="1">
      <x:c r="A1" s="137" t="str">
        <x:v>TABLEAU DE BORD — PILOTAGE DE LA COMMUNICATION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5"/>
      <x:c r="W1" s="5"/>
      <x:c r="X1" s="5"/>
      <x:c r="Y1" s="5"/>
    </x:row>
    <x:row r="2">
      <x:c r="A2" s="74" t="str">
        <x:v>Plateforme</x:v>
      </x:c>
      <x:c r="B2" s="74"/>
      <x:c r="C2" s="98" t="str">
        <x:v>Toutes</x:v>
      </x:c>
      <x:c r="D2" s="98"/>
      <x:c r="E2" s="74" t="str">
        <x:v>Mois</x:v>
      </x:c>
      <x:c r="F2" s="74"/>
      <x:c r="G2" s="98" t="str">
        <x:v>Tous</x:v>
      </x:c>
      <x:c r="H2" s="98"/>
    </x:row>
    <x:row r="5">
      <x:c r="A5" s="74" t="str">
        <x:v>Publications</x:v>
      </x:c>
      <x:c r="B5" s="74"/>
      <x:c r="C5" s="74"/>
      <x:c r="D5" s="74"/>
      <x:c r="E5" s="74" t="str">
        <x:v>Impressions</x:v>
      </x:c>
      <x:c r="F5" s="74"/>
      <x:c r="G5" s="74"/>
      <x:c r="H5" s="74"/>
      <x:c r="I5" s="74" t="str">
        <x:v>Portée</x:v>
      </x:c>
      <x:c r="J5" s="74"/>
      <x:c r="K5" s="74"/>
      <x:c r="L5" s="74"/>
      <x:c r="M5" s="74" t="str">
        <x:v>Engagement</x:v>
      </x:c>
      <x:c r="N5" s="74"/>
      <x:c r="O5" s="74"/>
      <x:c r="P5" s="74"/>
      <x:c r="Q5" s="74" t="str">
        <x:v>Taux d’engagement</x:v>
      </x:c>
      <x:c r="R5" s="74"/>
      <x:c r="S5" s="74"/>
      <x:c r="T5" s="74"/>
      <x:c r="U5" s="74" t="str">
        <x:v>Nouveaux abonnés</x:v>
      </x:c>
      <x:c r="V5" s="74"/>
      <x:c r="W5" s="74"/>
      <x:c r="X5" s="74"/>
    </x:row>
    <x:row r="6">
      <x:c r="A6" s="108" t="n">
        <x:f>IF(AND($C$2="Toutes",$G$2="Tous"),COUNTIFS('Calendrier éditorial'!$J$6:$J$205,"Publiée"),IF($C$2="Toutes",COUNTIFS('Calendrier éditorial'!$J$6:$J$205,"Publiée",'Calendrier éditorial'!$D$6:$D$205,$G$2),IF($G$2="Tous",COUNTIFS('Calendrier éditorial'!$J$6:$J$205,"Publiée",'Calendrier éditorial'!$I$6:$I$205,$C$2),COUNTIFS('Calendrier éditorial'!$J$6:$J$205,"Publiée",'Calendrier éditorial'!$I$6:$I$205,$C$2,'Calendrier éditorial'!$D$6:$D$205,$G$2))))</x:f>
        <x:v>0</x:v>
      </x:c>
      <x:c r="B6" s="108"/>
      <x:c r="C6" s="108"/>
      <x:c r="D6" s="108"/>
      <x:c r="E6" s="110" t="n">
        <x:f>IF(AND($C$2="Toutes",$G$2="Tous"),SUMIFS('Calendrier éditorial'!$AC$6:$AC$205,'Calendrier éditorial'!$J$6:$J$205,"Publiée"),IF($C$2="Toutes",SUMIFS('Calendrier éditorial'!$AC$6:$AC$205,'Calendrier éditorial'!$J$6:$J$205,"Publiée",'Calendrier éditorial'!$D$6:$D$205,$G$2),IF($G$2="Tous",SUMIFS('Calendrier éditorial'!$AC$6:$AC$205,'Calendrier éditorial'!$J$6:$J$205,"Publiée",'Calendrier éditorial'!$I$6:$I$205,$C$2),SUMIFS('Calendrier éditorial'!$AC$6:$AC$205,'Calendrier éditorial'!$J$6:$J$205,"Publiée",'Calendrier éditorial'!$I$6:$I$205,$C$2,'Calendrier éditorial'!$D$6:$D$205,$G$2))))</x:f>
        <x:v>0</x:v>
      </x:c>
      <x:c r="F6" s="110"/>
      <x:c r="G6" s="110"/>
      <x:c r="H6" s="110"/>
      <x:c r="I6" s="110" t="n">
        <x:f>IF(AND($C$2="Toutes",$G$2="Tous"),SUMIFS('Calendrier éditorial'!$AD$6:$AD$205,'Calendrier éditorial'!$J$6:$J$205,"Publiée"),IF($C$2="Toutes",SUMIFS('Calendrier éditorial'!$AD$6:$AD$205,'Calendrier éditorial'!$J$6:$J$205,"Publiée",'Calendrier éditorial'!$D$6:$D$205,$G$2),IF($G$2="Tous",SUMIFS('Calendrier éditorial'!$AD$6:$AD$205,'Calendrier éditorial'!$J$6:$J$205,"Publiée",'Calendrier éditorial'!$I$6:$I$205,$C$2),SUMIFS('Calendrier éditorial'!$AD$6:$AD$205,'Calendrier éditorial'!$J$6:$J$205,"Publiée",'Calendrier éditorial'!$I$6:$I$205,$C$2,'Calendrier éditorial'!$D$6:$D$205,$G$2))))</x:f>
        <x:v>0</x:v>
      </x:c>
      <x:c r="J6" s="110"/>
      <x:c r="K6" s="110"/>
      <x:c r="L6" s="110"/>
      <x:c r="M6" s="110" t="n">
        <x:f>IF(AND($C$2="Toutes",$G$2="Tous"),SUMIFS('Calendrier éditorial'!$AK$6:$AK$205,'Calendrier éditorial'!$J$6:$J$205,"Publiée"),IF($C$2="Toutes",SUMIFS('Calendrier éditorial'!$AK$6:$AK$205,'Calendrier éditorial'!$J$6:$J$205,"Publiée",'Calendrier éditorial'!$D$6:$D$205,$G$2),IF($G$2="Tous",SUMIFS('Calendrier éditorial'!$AK$6:$AK$205,'Calendrier éditorial'!$J$6:$J$205,"Publiée",'Calendrier éditorial'!$I$6:$I$205,$C$2),SUMIFS('Calendrier éditorial'!$AK$6:$AK$205,'Calendrier éditorial'!$J$6:$J$205,"Publiée",'Calendrier éditorial'!$I$6:$I$205,$C$2,'Calendrier éditorial'!$D$6:$D$205,$G$2))))</x:f>
        <x:v>0</x:v>
      </x:c>
      <x:c r="N6" s="110"/>
      <x:c r="O6" s="110"/>
      <x:c r="P6" s="110"/>
      <x:c r="Q6" s="112" t="n">
        <x:f>IFERROR(IF(AND($C$2="Toutes",$G$2="Tous"),SUMIFS('Calendrier éditorial'!$AK$6:$AK$205,'Calendrier éditorial'!$J$6:$J$205,"Publiée"),IF($C$2="Toutes",SUMIFS('Calendrier éditorial'!$AK$6:$AK$205,'Calendrier éditorial'!$J$6:$J$205,"Publiée",'Calendrier éditorial'!$D$6:$D$205,$G$2),IF($G$2="Tous",SUMIFS('Calendrier éditorial'!$AK$6:$AK$205,'Calendrier éditorial'!$J$6:$J$205,"Publiée",'Calendrier éditorial'!$I$6:$I$205,$C$2),SUMIFS('Calendrier éditorial'!$AK$6:$AK$205,'Calendrier éditorial'!$J$6:$J$205,"Publiée",'Calendrier éditorial'!$I$6:$I$205,$C$2,'Calendrier éditorial'!$D$6:$D$205,$G$2))))/IF(AND($C$2="Toutes",$G$2="Tous"),SUMIFS('Calendrier éditorial'!$AD$6:$AD$205,'Calendrier éditorial'!$J$6:$J$205,"Publiée"),IF($C$2="Toutes",SUMIFS('Calendrier éditorial'!$AD$6:$AD$205,'Calendrier éditorial'!$J$6:$J$205,"Publiée",'Calendrier éditorial'!$D$6:$D$205,$G$2),IF($G$2="Tous",SUMIFS('Calendrier éditorial'!$AD$6:$AD$205,'Calendrier éditorial'!$J$6:$J$205,"Publiée",'Calendrier éditorial'!$I$6:$I$205,$C$2),SUMIFS('Calendrier éditorial'!$AD$6:$AD$205,'Calendrier éditorial'!$J$6:$J$205,"Publiée",'Calendrier éditorial'!$I$6:$I$205,$C$2,'Calendrier éditorial'!$D$6:$D$205,$G$2)))),0)</x:f>
        <x:v>0</x:v>
      </x:c>
      <x:c r="R6" s="112"/>
      <x:c r="S6" s="112"/>
      <x:c r="T6" s="112"/>
      <x:c r="U6" s="110" t="n">
        <x:f>IF(AND($C$2="Toutes",$G$2="Tous"),SUMIFS('Calendrier éditorial'!$AM$6:$AM$205,'Calendrier éditorial'!$J$6:$J$205,"Publiée"),IF($C$2="Toutes",SUMIFS('Calendrier éditorial'!$AM$6:$AM$205,'Calendrier éditorial'!$J$6:$J$205,"Publiée",'Calendrier éditorial'!$D$6:$D$205,$G$2),IF($G$2="Tous",SUMIFS('Calendrier éditorial'!$AM$6:$AM$205,'Calendrier éditorial'!$J$6:$J$205,"Publiée",'Calendrier éditorial'!$I$6:$I$205,$C$2),SUMIFS('Calendrier éditorial'!$AM$6:$AM$205,'Calendrier éditorial'!$J$6:$J$205,"Publiée",'Calendrier éditorial'!$I$6:$I$205,$C$2,'Calendrier éditorial'!$D$6:$D$205,$G$2))))</x:f>
        <x:v>0</x:v>
      </x:c>
      <x:c r="V6" s="110"/>
      <x:c r="W6" s="110"/>
      <x:c r="X6" s="110"/>
    </x:row>
    <x:row r="7">
      <x:c r="A7" s="108"/>
      <x:c r="B7" s="108"/>
      <x:c r="C7" s="108"/>
      <x:c r="D7" s="108"/>
      <x:c r="E7" s="110"/>
      <x:c r="F7" s="110"/>
      <x:c r="G7" s="110"/>
      <x:c r="H7" s="110"/>
      <x:c r="I7" s="110"/>
      <x:c r="J7" s="110"/>
      <x:c r="K7" s="110"/>
      <x:c r="L7" s="110"/>
      <x:c r="M7" s="110"/>
      <x:c r="N7" s="110"/>
      <x:c r="O7" s="110"/>
      <x:c r="P7" s="110"/>
      <x:c r="Q7" s="112"/>
      <x:c r="R7" s="112"/>
      <x:c r="S7" s="112"/>
      <x:c r="T7" s="112"/>
      <x:c r="U7" s="110"/>
      <x:c r="V7" s="110"/>
      <x:c r="W7" s="110"/>
      <x:c r="X7" s="110"/>
    </x:row>
    <x:row r="8">
      <x:c r="A8" s="108"/>
      <x:c r="B8" s="108"/>
      <x:c r="C8" s="108"/>
      <x:c r="D8" s="108"/>
      <x:c r="E8" s="110"/>
      <x:c r="F8" s="110"/>
      <x:c r="G8" s="110"/>
      <x:c r="H8" s="110"/>
      <x:c r="I8" s="110"/>
      <x:c r="J8" s="110"/>
      <x:c r="K8" s="110"/>
      <x:c r="L8" s="110"/>
      <x:c r="M8" s="110"/>
      <x:c r="N8" s="110"/>
      <x:c r="O8" s="110"/>
      <x:c r="P8" s="110"/>
      <x:c r="Q8" s="112"/>
      <x:c r="R8" s="112"/>
      <x:c r="S8" s="112"/>
      <x:c r="T8" s="112"/>
      <x:c r="U8" s="110"/>
      <x:c r="V8" s="110"/>
      <x:c r="W8" s="110"/>
      <x:c r="X8" s="110"/>
    </x:row>
    <x:row r="10">
      <x:c r="A10" s="74" t="str">
        <x:v>Prises de contact</x:v>
      </x:c>
      <x:c r="B10" s="74"/>
      <x:c r="C10" s="74"/>
      <x:c r="D10" s="74"/>
      <x:c r="E10" s="74" t="str">
        <x:v>Rendez-vous</x:v>
      </x:c>
      <x:c r="F10" s="74"/>
      <x:c r="G10" s="74"/>
      <x:c r="H10" s="74"/>
      <x:c r="I10" s="74" t="str">
        <x:v>Missions signées</x:v>
      </x:c>
      <x:c r="J10" s="74"/>
      <x:c r="K10" s="74"/>
      <x:c r="L10" s="74"/>
      <x:c r="M10" s="74" t="str">
        <x:v>CA généré</x:v>
      </x:c>
      <x:c r="N10" s="74"/>
      <x:c r="O10" s="74"/>
      <x:c r="P10" s="74"/>
      <x:c r="Q10" s="74" t="str">
        <x:v>Coût total</x:v>
      </x:c>
      <x:c r="R10" s="74"/>
      <x:c r="S10" s="74"/>
      <x:c r="T10" s="74"/>
      <x:c r="U10" s="74" t="str">
        <x:v>ROI</x:v>
      </x:c>
      <x:c r="V10" s="74"/>
      <x:c r="W10" s="74"/>
      <x:c r="X10" s="74"/>
    </x:row>
    <x:row r="11">
      <x:c r="A11" s="110" t="n">
        <x:f>IF(AND($C$2="Toutes",$G$2="Tous"),SUMIFS('Calendrier éditorial'!$AO$6:$AO$205,'Calendrier éditorial'!$J$6:$J$205,"Publiée"),IF($C$2="Toutes",SUMIFS('Calendrier éditorial'!$AO$6:$AO$205,'Calendrier éditorial'!$J$6:$J$205,"Publiée",'Calendrier éditorial'!$D$6:$D$205,$G$2),IF($G$2="Tous",SUMIFS('Calendrier éditorial'!$AO$6:$AO$205,'Calendrier éditorial'!$J$6:$J$205,"Publiée",'Calendrier éditorial'!$I$6:$I$205,$C$2),SUMIFS('Calendrier éditorial'!$AO$6:$AO$205,'Calendrier éditorial'!$J$6:$J$205,"Publiée",'Calendrier éditorial'!$I$6:$I$205,$C$2,'Calendrier éditorial'!$D$6:$D$205,$G$2))))</x:f>
        <x:v>0</x:v>
      </x:c>
      <x:c r="B11" s="110"/>
      <x:c r="C11" s="110"/>
      <x:c r="D11" s="110"/>
      <x:c r="E11" s="110" t="n">
        <x:f>IF(AND($C$2="Toutes",$G$2="Tous"),SUMIFS('Calendrier éditorial'!$AP$6:$AP$205,'Calendrier éditorial'!$J$6:$J$205,"Publiée"),IF($C$2="Toutes",SUMIFS('Calendrier éditorial'!$AP$6:$AP$205,'Calendrier éditorial'!$J$6:$J$205,"Publiée",'Calendrier éditorial'!$D$6:$D$205,$G$2),IF($G$2="Tous",SUMIFS('Calendrier éditorial'!$AP$6:$AP$205,'Calendrier éditorial'!$J$6:$J$205,"Publiée",'Calendrier éditorial'!$I$6:$I$205,$C$2),SUMIFS('Calendrier éditorial'!$AP$6:$AP$205,'Calendrier éditorial'!$J$6:$J$205,"Publiée",'Calendrier éditorial'!$I$6:$I$205,$C$2,'Calendrier éditorial'!$D$6:$D$205,$G$2))))</x:f>
        <x:v>0</x:v>
      </x:c>
      <x:c r="F11" s="110"/>
      <x:c r="G11" s="110"/>
      <x:c r="H11" s="110"/>
      <x:c r="I11" s="110" t="n">
        <x:f>IF(AND($C$2="Toutes",$G$2="Tous"),COUNTIFS('Calendrier éditorial'!$J$6:$J$205,"Publiée",'Calendrier éditorial'!$AQ$6:$AQ$205,"Oui"),IF($C$2="Toutes",COUNTIFS('Calendrier éditorial'!$J$6:$J$205,"Publiée",'Calendrier éditorial'!$D$6:$D$205,$G$2,'Calendrier éditorial'!$AQ$6:$AQ$205,"Oui"),IF($G$2="Tous",COUNTIFS('Calendrier éditorial'!$J$6:$J$205,"Publiée",'Calendrier éditorial'!$I$6:$I$205,$C$2,'Calendrier éditorial'!$AQ$6:$AQ$205,"Oui"),COUNTIFS('Calendrier éditorial'!$J$6:$J$205,"Publiée",'Calendrier éditorial'!$I$6:$I$205,$C$2,'Calendrier éditorial'!$D$6:$D$205,$G$2,'Calendrier éditorial'!$AQ$6:$AQ$205,"Oui"))))</x:f>
        <x:v>0</x:v>
      </x:c>
      <x:c r="J11" s="110"/>
      <x:c r="K11" s="110"/>
      <x:c r="L11" s="110"/>
      <x:c r="M11" s="114" t="n">
        <x:f>IF(AND($C$2="Toutes",$G$2="Tous"),SUMIFS('Calendrier éditorial'!$AS$6:$AS$205,'Calendrier éditorial'!$J$6:$J$205,"Publiée"),IF($C$2="Toutes",SUMIFS('Calendrier éditorial'!$AS$6:$AS$205,'Calendrier éditorial'!$J$6:$J$205,"Publiée",'Calendrier éditorial'!$D$6:$D$205,$G$2),IF($G$2="Tous",SUMIFS('Calendrier éditorial'!$AS$6:$AS$205,'Calendrier éditorial'!$J$6:$J$205,"Publiée",'Calendrier éditorial'!$I$6:$I$205,$C$2),SUMIFS('Calendrier éditorial'!$AS$6:$AS$205,'Calendrier éditorial'!$J$6:$J$205,"Publiée",'Calendrier éditorial'!$I$6:$I$205,$C$2,'Calendrier éditorial'!$D$6:$D$205,$G$2))))</x:f>
        <x:v>0</x:v>
      </x:c>
      <x:c r="N11" s="114"/>
      <x:c r="O11" s="114"/>
      <x:c r="P11" s="114"/>
      <x:c r="Q11" s="114" t="n">
        <x:f>IF(AND($C$2="Toutes",$G$2="Tous"),SUMIFS('Calendrier éditorial'!$AX$6:$AX$205,'Calendrier éditorial'!$J$6:$J$205,"Publiée"),IF($C$2="Toutes",SUMIFS('Calendrier éditorial'!$AX$6:$AX$205,'Calendrier éditorial'!$J$6:$J$205,"Publiée",'Calendrier éditorial'!$D$6:$D$205,$G$2),IF($G$2="Tous",SUMIFS('Calendrier éditorial'!$AX$6:$AX$205,'Calendrier éditorial'!$J$6:$J$205,"Publiée",'Calendrier éditorial'!$I$6:$I$205,$C$2),SUMIFS('Calendrier éditorial'!$AX$6:$AX$205,'Calendrier éditorial'!$J$6:$J$205,"Publiée",'Calendrier éditorial'!$I$6:$I$205,$C$2,'Calendrier éditorial'!$D$6:$D$205,$G$2))))</x:f>
        <x:v>0</x:v>
      </x:c>
      <x:c r="R11" s="114"/>
      <x:c r="S11" s="114"/>
      <x:c r="T11" s="114"/>
      <x:c r="U11" s="112" t="n">
        <x:f>IFERROR((IF(AND($C$2="Toutes",$G$2="Tous"),SUMIFS('Calendrier éditorial'!$AS$6:$AS$205,'Calendrier éditorial'!$J$6:$J$205,"Publiée"),IF($C$2="Toutes",SUMIFS('Calendrier éditorial'!$AS$6:$AS$205,'Calendrier éditorial'!$J$6:$J$205,"Publiée",'Calendrier éditorial'!$D$6:$D$205,$G$2),IF($G$2="Tous",SUMIFS('Calendrier éditorial'!$AS$6:$AS$205,'Calendrier éditorial'!$J$6:$J$205,"Publiée",'Calendrier éditorial'!$I$6:$I$205,$C$2),SUMIFS('Calendrier éditorial'!$AS$6:$AS$205,'Calendrier éditorial'!$J$6:$J$205,"Publiée",'Calendrier éditorial'!$I$6:$I$205,$C$2,'Calendrier éditorial'!$D$6:$D$205,$G$2))))-IF(AND($C$2="Toutes",$G$2="Tous"),SUMIFS('Calendrier éditorial'!$AX$6:$AX$205,'Calendrier éditorial'!$J$6:$J$205,"Publiée"),IF($C$2="Toutes",SUMIFS('Calendrier éditorial'!$AX$6:$AX$205,'Calendrier éditorial'!$J$6:$J$205,"Publiée",'Calendrier éditorial'!$D$6:$D$205,$G$2),IF($G$2="Tous",SUMIFS('Calendrier éditorial'!$AX$6:$AX$205,'Calendrier éditorial'!$J$6:$J$205,"Publiée",'Calendrier éditorial'!$I$6:$I$205,$C$2),SUMIFS('Calendrier éditorial'!$AX$6:$AX$205,'Calendrier éditorial'!$J$6:$J$205,"Publiée",'Calendrier éditorial'!$I$6:$I$205,$C$2,'Calendrier éditorial'!$D$6:$D$205,$G$2)))))/IF(AND($C$2="Toutes",$G$2="Tous"),SUMIFS('Calendrier éditorial'!$AX$6:$AX$205,'Calendrier éditorial'!$J$6:$J$205,"Publiée"),IF($C$2="Toutes",SUMIFS('Calendrier éditorial'!$AX$6:$AX$205,'Calendrier éditorial'!$J$6:$J$205,"Publiée",'Calendrier éditorial'!$D$6:$D$205,$G$2),IF($G$2="Tous",SUMIFS('Calendrier éditorial'!$AX$6:$AX$205,'Calendrier éditorial'!$J$6:$J$205,"Publiée",'Calendrier éditorial'!$I$6:$I$205,$C$2),SUMIFS('Calendrier éditorial'!$AX$6:$AX$205,'Calendrier éditorial'!$J$6:$J$205,"Publiée",'Calendrier éditorial'!$I$6:$I$205,$C$2,'Calendrier éditorial'!$D$6:$D$205,$G$2)))),0)</x:f>
        <x:v>0</x:v>
      </x:c>
      <x:c r="V11" s="112"/>
      <x:c r="W11" s="112"/>
      <x:c r="X11" s="112"/>
    </x:row>
    <x:row r="12">
      <x:c r="A12" s="110"/>
      <x:c r="B12" s="110"/>
      <x:c r="C12" s="110"/>
      <x:c r="D12" s="110"/>
      <x:c r="E12" s="110"/>
      <x:c r="F12" s="110"/>
      <x:c r="G12" s="110"/>
      <x:c r="H12" s="110"/>
      <x:c r="I12" s="110"/>
      <x:c r="J12" s="110"/>
      <x:c r="K12" s="110"/>
      <x:c r="L12" s="110"/>
      <x:c r="M12" s="114"/>
      <x:c r="N12" s="114"/>
      <x:c r="O12" s="114"/>
      <x:c r="P12" s="114"/>
      <x:c r="Q12" s="114"/>
      <x:c r="R12" s="114"/>
      <x:c r="S12" s="114"/>
      <x:c r="T12" s="114"/>
      <x:c r="U12" s="112"/>
      <x:c r="V12" s="112"/>
      <x:c r="W12" s="112"/>
      <x:c r="X12" s="112"/>
    </x:row>
    <x:row r="13">
      <x:c r="A13" s="110"/>
      <x:c r="B13" s="110"/>
      <x:c r="C13" s="110"/>
      <x:c r="D13" s="110"/>
      <x:c r="E13" s="110"/>
      <x:c r="F13" s="110"/>
      <x:c r="G13" s="110"/>
      <x:c r="H13" s="110"/>
      <x:c r="I13" s="110"/>
      <x:c r="J13" s="110"/>
      <x:c r="K13" s="110"/>
      <x:c r="L13" s="110"/>
      <x:c r="M13" s="114"/>
      <x:c r="N13" s="114"/>
      <x:c r="O13" s="114"/>
      <x:c r="P13" s="114"/>
      <x:c r="Q13" s="114"/>
      <x:c r="R13" s="114"/>
      <x:c r="S13" s="114"/>
      <x:c r="T13" s="114"/>
      <x:c r="U13" s="112"/>
      <x:c r="V13" s="112"/>
      <x:c r="W13" s="112"/>
      <x:c r="X13" s="112"/>
    </x:row>
    <x:row r="14">
      <x:c r="A14" t="str">
        <x:v>Les résultats apparaissent après saisie des publications dans l’onglet « Calendrier éditorial ».</x:v>
      </x:c>
    </x:row>
    <x:row r="16">
      <x:c r="A16" s="42" t="str">
        <x:v>Plateforme</x:v>
      </x:c>
      <x:c r="B16" s="42" t="str">
        <x:v>Publications</x:v>
      </x:c>
      <x:c r="C16" s="42" t="str">
        <x:v>Portée</x:v>
      </x:c>
      <x:c r="D16" s="42" t="str">
        <x:v>Engagement</x:v>
      </x:c>
      <x:c r="E16" s="42" t="str">
        <x:v>Contacts</x:v>
      </x:c>
      <x:c r="F16" s="42" t="str">
        <x:v>CA généré</x:v>
      </x:c>
      <x:c r="H16" s="42" t="str">
        <x:v>Étape</x:v>
      </x:c>
      <x:c r="I16" s="42" t="str">
        <x:v>Publications</x:v>
      </x:c>
      <x:c r="J16" s="42" t="str">
        <x:v>Portée</x:v>
      </x:c>
      <x:c r="K16" s="42" t="str">
        <x:v>Engagement</x:v>
      </x:c>
      <x:c r="L16" s="42" t="str">
        <x:v>CA généré</x:v>
      </x:c>
      <x:c r="N16" s="42" t="str">
        <x:v>Nature</x:v>
      </x:c>
      <x:c r="O16" s="42" t="str">
        <x:v>Publications</x:v>
      </x:c>
      <x:c r="P16" s="42" t="str">
        <x:v>Portée</x:v>
      </x:c>
      <x:c r="Q16" s="42" t="str">
        <x:v>Engagement</x:v>
      </x:c>
      <x:c r="R16" s="42" t="str">
        <x:v>Taux engagement</x:v>
      </x:c>
      <x:c r="T16" s="42" t="str">
        <x:v>Étape conversion</x:v>
      </x:c>
      <x:c r="U16" s="42" t="str">
        <x:v>Volume</x:v>
      </x:c>
    </x:row>
    <x:row r="17">
      <x:c r="A17" s="25" t="str">
        <x:v>Facebook</x:v>
      </x:c>
      <x:c r="B17" s="25" t="n">
        <x:f>IF($G$2="Tous",COUNTIFS('Calendrier éditorial'!$J$6:$J$205,"Publiée",'Calendrier éditorial'!$I$6:$I$205,A17),COUNTIFS('Calendrier éditorial'!$J$6:$J$205,"Publiée",'Calendrier éditorial'!$I$6:$I$205,A17,'Calendrier éditorial'!$D$6:$D$205,$G$2))</x:f>
        <x:v>0</x:v>
      </x:c>
      <x:c r="C17" s="25" t="n">
        <x:f>IF($G$2="Tous",SUMIFS('Calendrier éditorial'!$AD$6:$AD$205,'Calendrier éditorial'!$J$6:$J$205,"Publiée",'Calendrier éditorial'!$I$6:$I$205,A17),SUMIFS('Calendrier éditorial'!$AD$6:$AD$205,'Calendrier éditorial'!$J$6:$J$205,"Publiée",'Calendrier éditorial'!$I$6:$I$205,A17,'Calendrier éditorial'!$D$6:$D$205,$G$2))</x:f>
        <x:v>0</x:v>
      </x:c>
      <x:c r="D17" s="25" t="n">
        <x:f>IF($G$2="Tous",SUMIFS('Calendrier éditorial'!$AK$6:$AK$205,'Calendrier éditorial'!$J$6:$J$205,"Publiée",'Calendrier éditorial'!$I$6:$I$205,A17),SUMIFS('Calendrier éditorial'!$AK$6:$AK$205,'Calendrier éditorial'!$J$6:$J$205,"Publiée",'Calendrier éditorial'!$I$6:$I$205,A17,'Calendrier éditorial'!$D$6:$D$205,$G$2))</x:f>
        <x:v>0</x:v>
      </x:c>
      <x:c r="E17" s="25" t="n">
        <x:f>IF($G$2="Tous",SUMIFS('Calendrier éditorial'!$AO$6:$AO$205,'Calendrier éditorial'!$J$6:$J$205,"Publiée",'Calendrier éditorial'!$I$6:$I$205,A17),SUMIFS('Calendrier éditorial'!$AO$6:$AO$205,'Calendrier éditorial'!$J$6:$J$205,"Publiée",'Calendrier éditorial'!$I$6:$I$205,A17,'Calendrier éditorial'!$D$6:$D$205,$G$2))</x:f>
        <x:v>0</x:v>
      </x:c>
      <x:c r="F17" s="116" t="n">
        <x:f>IF($G$2="Tous",SUMIFS('Calendrier éditorial'!$AS$6:$AS$205,'Calendrier éditorial'!$J$6:$J$205,"Publiée",'Calendrier éditorial'!$I$6:$I$205,A17),SUMIFS('Calendrier éditorial'!$AS$6:$AS$205,'Calendrier éditorial'!$J$6:$J$205,"Publiée",'Calendrier éditorial'!$I$6:$I$205,A17,'Calendrier éditorial'!$D$6:$D$205,$G$2))</x:f>
        <x:v>0</x:v>
      </x:c>
      <x:c r="H17" s="25" t="str">
        <x:v>See</x:v>
      </x:c>
      <x:c r="I17" s="25" t="n">
        <x:f>IF(AND($C$2="Toutes",$G$2="Tous"),COUNTIFS('Calendrier éditorial'!$J$6:$J$205,"Publiée",'Calendrier éditorial'!$U$6:$U$205,H17),IF($C$2="Toutes",COUNTIFS('Calendrier éditorial'!$J$6:$J$205,"Publiée",'Calendrier éditorial'!$D$6:$D$205,$G$2,'Calendrier éditorial'!$U$6:$U$205,H17),IF($G$2="Tous",COUNTIFS('Calendrier éditorial'!$J$6:$J$205,"Publiée",'Calendrier éditorial'!$I$6:$I$205,$C$2,'Calendrier éditorial'!$U$6:$U$205,H17),COUNTIFS('Calendrier éditorial'!$J$6:$J$205,"Publiée",'Calendrier éditorial'!$I$6:$I$205,$C$2,'Calendrier éditorial'!$D$6:$D$205,$G$2,'Calendrier éditorial'!$U$6:$U$205,H17))))</x:f>
        <x:v>0</x:v>
      </x:c>
      <x:c r="J17" s="25" t="n">
        <x:f>IF(AND($C$2="Toutes",$G$2="Tous"),SUMIFS('Calendrier éditorial'!$AD$6:$AD$205,'Calendrier éditorial'!$J$6:$J$205,"Publiée",'Calendrier éditorial'!$U$6:$U$205,H17),IF($C$2="Toutes",SUMIFS('Calendrier éditorial'!$AD$6:$AD$205,'Calendrier éditorial'!$J$6:$J$205,"Publiée",'Calendrier éditorial'!$D$6:$D$205,$G$2,'Calendrier éditorial'!$U$6:$U$205,H17),IF($G$2="Tous",SUMIFS('Calendrier éditorial'!$AD$6:$AD$205,'Calendrier éditorial'!$J$6:$J$205,"Publiée",'Calendrier éditorial'!$I$6:$I$205,$C$2,'Calendrier éditorial'!$U$6:$U$205,H17),SUMIFS('Calendrier éditorial'!$AD$6:$AD$205,'Calendrier éditorial'!$J$6:$J$205,"Publiée",'Calendrier éditorial'!$I$6:$I$205,$C$2,'Calendrier éditorial'!$D$6:$D$205,$G$2,'Calendrier éditorial'!$U$6:$U$205,H17))))</x:f>
        <x:v>0</x:v>
      </x:c>
      <x:c r="K17" s="25" t="n">
        <x:f>IF(AND($C$2="Toutes",$G$2="Tous"),SUMIFS('Calendrier éditorial'!$AK$6:$AK$205,'Calendrier éditorial'!$J$6:$J$205,"Publiée",'Calendrier éditorial'!$U$6:$U$205,H17),IF($C$2="Toutes",SUMIFS('Calendrier éditorial'!$AK$6:$AK$205,'Calendrier éditorial'!$J$6:$J$205,"Publiée",'Calendrier éditorial'!$D$6:$D$205,$G$2,'Calendrier éditorial'!$U$6:$U$205,H17),IF($G$2="Tous",SUMIFS('Calendrier éditorial'!$AK$6:$AK$205,'Calendrier éditorial'!$J$6:$J$205,"Publiée",'Calendrier éditorial'!$I$6:$I$205,$C$2,'Calendrier éditorial'!$U$6:$U$205,H17),SUMIFS('Calendrier éditorial'!$AK$6:$AK$205,'Calendrier éditorial'!$J$6:$J$205,"Publiée",'Calendrier éditorial'!$I$6:$I$205,$C$2,'Calendrier éditorial'!$D$6:$D$205,$G$2,'Calendrier éditorial'!$U$6:$U$205,H17))))</x:f>
        <x:v>0</x:v>
      </x:c>
      <x:c r="L17" s="116" t="n">
        <x:f>IF(AND($C$2="Toutes",$G$2="Tous"),SUMIFS('Calendrier éditorial'!$AS$6:$AS$205,'Calendrier éditorial'!$J$6:$J$205,"Publiée",'Calendrier éditorial'!$U$6:$U$205,H17),IF($C$2="Toutes",SUMIFS('Calendrier éditorial'!$AS$6:$AS$205,'Calendrier éditorial'!$J$6:$J$205,"Publiée",'Calendrier éditorial'!$D$6:$D$205,$G$2,'Calendrier éditorial'!$U$6:$U$205,H17),IF($G$2="Tous",SUMIFS('Calendrier éditorial'!$AS$6:$AS$205,'Calendrier éditorial'!$J$6:$J$205,"Publiée",'Calendrier éditorial'!$I$6:$I$205,$C$2,'Calendrier éditorial'!$U$6:$U$205,H17),SUMIFS('Calendrier éditorial'!$AS$6:$AS$205,'Calendrier éditorial'!$J$6:$J$205,"Publiée",'Calendrier éditorial'!$I$6:$I$205,$C$2,'Calendrier éditorial'!$D$6:$D$205,$G$2,'Calendrier éditorial'!$U$6:$U$205,H17))))</x:f>
        <x:v>0</x:v>
      </x:c>
      <x:c r="N17" s="25" t="str">
        <x:v>Éduquer</x:v>
      </x:c>
      <x:c r="O17" s="25" t="n">
        <x:f>IF(AND($C$2="Toutes",$G$2="Tous"),COUNTIFS('Calendrier éditorial'!$J$6:$J$205,"Publiée",'Calendrier éditorial'!$T$6:$T$205,N17),IF($C$2="Toutes",COUNTIFS('Calendrier éditorial'!$J$6:$J$205,"Publiée",'Calendrier éditorial'!$D$6:$D$205,$G$2,'Calendrier éditorial'!$T$6:$T$205,N17),IF($G$2="Tous",COUNTIFS('Calendrier éditorial'!$J$6:$J$205,"Publiée",'Calendrier éditorial'!$I$6:$I$205,$C$2,'Calendrier éditorial'!$T$6:$T$205,N17),COUNTIFS('Calendrier éditorial'!$J$6:$J$205,"Publiée",'Calendrier éditorial'!$I$6:$I$205,$C$2,'Calendrier éditorial'!$D$6:$D$205,$G$2,'Calendrier éditorial'!$T$6:$T$205,N17))))</x:f>
        <x:v>0</x:v>
      </x:c>
      <x:c r="P17" s="25" t="n">
        <x:f>IF(AND($C$2="Toutes",$G$2="Tous"),SUMIFS('Calendrier éditorial'!$AD$6:$AD$205,'Calendrier éditorial'!$J$6:$J$205,"Publiée",'Calendrier éditorial'!$T$6:$T$205,N17),IF($C$2="Toutes",SUMIFS('Calendrier éditorial'!$AD$6:$AD$205,'Calendrier éditorial'!$J$6:$J$205,"Publiée",'Calendrier éditorial'!$D$6:$D$205,$G$2,'Calendrier éditorial'!$T$6:$T$205,N17),IF($G$2="Tous",SUMIFS('Calendrier éditorial'!$AD$6:$AD$205,'Calendrier éditorial'!$J$6:$J$205,"Publiée",'Calendrier éditorial'!$I$6:$I$205,$C$2,'Calendrier éditorial'!$T$6:$T$205,N17),SUMIFS('Calendrier éditorial'!$AD$6:$AD$205,'Calendrier éditorial'!$J$6:$J$205,"Publiée",'Calendrier éditorial'!$I$6:$I$205,$C$2,'Calendrier éditorial'!$D$6:$D$205,$G$2,'Calendrier éditorial'!$T$6:$T$205,N17))))</x:f>
        <x:v>0</x:v>
      </x:c>
      <x:c r="Q17" s="25" t="n">
        <x:f>IF(AND($C$2="Toutes",$G$2="Tous"),SUMIFS('Calendrier éditorial'!$AK$6:$AK$205,'Calendrier éditorial'!$J$6:$J$205,"Publiée",'Calendrier éditorial'!$T$6:$T$205,N17),IF($C$2="Toutes",SUMIFS('Calendrier éditorial'!$AK$6:$AK$205,'Calendrier éditorial'!$J$6:$J$205,"Publiée",'Calendrier éditorial'!$D$6:$D$205,$G$2,'Calendrier éditorial'!$T$6:$T$205,N17),IF($G$2="Tous",SUMIFS('Calendrier éditorial'!$AK$6:$AK$205,'Calendrier éditorial'!$J$6:$J$205,"Publiée",'Calendrier éditorial'!$I$6:$I$205,$C$2,'Calendrier éditorial'!$T$6:$T$205,N17),SUMIFS('Calendrier éditorial'!$AK$6:$AK$205,'Calendrier éditorial'!$J$6:$J$205,"Publiée",'Calendrier éditorial'!$I$6:$I$205,$C$2,'Calendrier éditorial'!$D$6:$D$205,$G$2,'Calendrier éditorial'!$T$6:$T$205,N17))))</x:f>
        <x:v>0</x:v>
      </x:c>
      <x:c r="R17" s="118" t="n">
        <x:f>IFERROR(Q17/P17,0)</x:f>
        <x:v>0</x:v>
      </x:c>
      <x:c r="T17" s="25" t="str">
        <x:v>Prises de contact</x:v>
      </x:c>
      <x:c r="U17" s="25" t="n">
        <x:f>IF(AND($C$2="Toutes",$G$2="Tous"),SUMIFS('Calendrier éditorial'!$AO$6:$AO$205,'Calendrier éditorial'!$J$6:$J$205,"Publiée"),IF($C$2="Toutes",SUMIFS('Calendrier éditorial'!$AO$6:$AO$205,'Calendrier éditorial'!$J$6:$J$205,"Publiée",'Calendrier éditorial'!$D$6:$D$205,$G$2),IF($G$2="Tous",SUMIFS('Calendrier éditorial'!$AO$6:$AO$205,'Calendrier éditorial'!$J$6:$J$205,"Publiée",'Calendrier éditorial'!$I$6:$I$205,$C$2),SUMIFS('Calendrier éditorial'!$AO$6:$AO$205,'Calendrier éditorial'!$J$6:$J$205,"Publiée",'Calendrier éditorial'!$I$6:$I$205,$C$2,'Calendrier éditorial'!$D$6:$D$205,$G$2))))</x:f>
        <x:v>0</x:v>
      </x:c>
    </x:row>
    <x:row r="18">
      <x:c r="A18" s="25" t="str">
        <x:v>Instagram</x:v>
      </x:c>
      <x:c r="B18" s="25" t="n">
        <x:f>IF($G$2="Tous",COUNTIFS('Calendrier éditorial'!$J$6:$J$205,"Publiée",'Calendrier éditorial'!$I$6:$I$205,A18),COUNTIFS('Calendrier éditorial'!$J$6:$J$205,"Publiée",'Calendrier éditorial'!$I$6:$I$205,A18,'Calendrier éditorial'!$D$6:$D$205,$G$2))</x:f>
        <x:v>0</x:v>
      </x:c>
      <x:c r="C18" s="25" t="n">
        <x:f>IF($G$2="Tous",SUMIFS('Calendrier éditorial'!$AD$6:$AD$205,'Calendrier éditorial'!$J$6:$J$205,"Publiée",'Calendrier éditorial'!$I$6:$I$205,A18),SUMIFS('Calendrier éditorial'!$AD$6:$AD$205,'Calendrier éditorial'!$J$6:$J$205,"Publiée",'Calendrier éditorial'!$I$6:$I$205,A18,'Calendrier éditorial'!$D$6:$D$205,$G$2))</x:f>
        <x:v>0</x:v>
      </x:c>
      <x:c r="D18" s="25" t="n">
        <x:f>IF($G$2="Tous",SUMIFS('Calendrier éditorial'!$AK$6:$AK$205,'Calendrier éditorial'!$J$6:$J$205,"Publiée",'Calendrier éditorial'!$I$6:$I$205,A18),SUMIFS('Calendrier éditorial'!$AK$6:$AK$205,'Calendrier éditorial'!$J$6:$J$205,"Publiée",'Calendrier éditorial'!$I$6:$I$205,A18,'Calendrier éditorial'!$D$6:$D$205,$G$2))</x:f>
        <x:v>0</x:v>
      </x:c>
      <x:c r="E18" s="25" t="n">
        <x:f>IF($G$2="Tous",SUMIFS('Calendrier éditorial'!$AO$6:$AO$205,'Calendrier éditorial'!$J$6:$J$205,"Publiée",'Calendrier éditorial'!$I$6:$I$205,A18),SUMIFS('Calendrier éditorial'!$AO$6:$AO$205,'Calendrier éditorial'!$J$6:$J$205,"Publiée",'Calendrier éditorial'!$I$6:$I$205,A18,'Calendrier éditorial'!$D$6:$D$205,$G$2))</x:f>
        <x:v>0</x:v>
      </x:c>
      <x:c r="F18" s="116" t="n">
        <x:f>IF($G$2="Tous",SUMIFS('Calendrier éditorial'!$AS$6:$AS$205,'Calendrier éditorial'!$J$6:$J$205,"Publiée",'Calendrier éditorial'!$I$6:$I$205,A18),SUMIFS('Calendrier éditorial'!$AS$6:$AS$205,'Calendrier éditorial'!$J$6:$J$205,"Publiée",'Calendrier éditorial'!$I$6:$I$205,A18,'Calendrier éditorial'!$D$6:$D$205,$G$2))</x:f>
        <x:v>0</x:v>
      </x:c>
      <x:c r="H18" s="25" t="str">
        <x:v>Think</x:v>
      </x:c>
      <x:c r="I18" s="25" t="n">
        <x:f>IF(AND($C$2="Toutes",$G$2="Tous"),COUNTIFS('Calendrier éditorial'!$J$6:$J$205,"Publiée",'Calendrier éditorial'!$U$6:$U$205,H18),IF($C$2="Toutes",COUNTIFS('Calendrier éditorial'!$J$6:$J$205,"Publiée",'Calendrier éditorial'!$D$6:$D$205,$G$2,'Calendrier éditorial'!$U$6:$U$205,H18),IF($G$2="Tous",COUNTIFS('Calendrier éditorial'!$J$6:$J$205,"Publiée",'Calendrier éditorial'!$I$6:$I$205,$C$2,'Calendrier éditorial'!$U$6:$U$205,H18),COUNTIFS('Calendrier éditorial'!$J$6:$J$205,"Publiée",'Calendrier éditorial'!$I$6:$I$205,$C$2,'Calendrier éditorial'!$D$6:$D$205,$G$2,'Calendrier éditorial'!$U$6:$U$205,H18))))</x:f>
        <x:v>0</x:v>
      </x:c>
      <x:c r="J18" s="25" t="n">
        <x:f>IF(AND($C$2="Toutes",$G$2="Tous"),SUMIFS('Calendrier éditorial'!$AD$6:$AD$205,'Calendrier éditorial'!$J$6:$J$205,"Publiée",'Calendrier éditorial'!$U$6:$U$205,H18),IF($C$2="Toutes",SUMIFS('Calendrier éditorial'!$AD$6:$AD$205,'Calendrier éditorial'!$J$6:$J$205,"Publiée",'Calendrier éditorial'!$D$6:$D$205,$G$2,'Calendrier éditorial'!$U$6:$U$205,H18),IF($G$2="Tous",SUMIFS('Calendrier éditorial'!$AD$6:$AD$205,'Calendrier éditorial'!$J$6:$J$205,"Publiée",'Calendrier éditorial'!$I$6:$I$205,$C$2,'Calendrier éditorial'!$U$6:$U$205,H18),SUMIFS('Calendrier éditorial'!$AD$6:$AD$205,'Calendrier éditorial'!$J$6:$J$205,"Publiée",'Calendrier éditorial'!$I$6:$I$205,$C$2,'Calendrier éditorial'!$D$6:$D$205,$G$2,'Calendrier éditorial'!$U$6:$U$205,H18))))</x:f>
        <x:v>0</x:v>
      </x:c>
      <x:c r="K18" s="25" t="n">
        <x:f>IF(AND($C$2="Toutes",$G$2="Tous"),SUMIFS('Calendrier éditorial'!$AK$6:$AK$205,'Calendrier éditorial'!$J$6:$J$205,"Publiée",'Calendrier éditorial'!$U$6:$U$205,H18),IF($C$2="Toutes",SUMIFS('Calendrier éditorial'!$AK$6:$AK$205,'Calendrier éditorial'!$J$6:$J$205,"Publiée",'Calendrier éditorial'!$D$6:$D$205,$G$2,'Calendrier éditorial'!$U$6:$U$205,H18),IF($G$2="Tous",SUMIFS('Calendrier éditorial'!$AK$6:$AK$205,'Calendrier éditorial'!$J$6:$J$205,"Publiée",'Calendrier éditorial'!$I$6:$I$205,$C$2,'Calendrier éditorial'!$U$6:$U$205,H18),SUMIFS('Calendrier éditorial'!$AK$6:$AK$205,'Calendrier éditorial'!$J$6:$J$205,"Publiée",'Calendrier éditorial'!$I$6:$I$205,$C$2,'Calendrier éditorial'!$D$6:$D$205,$G$2,'Calendrier éditorial'!$U$6:$U$205,H18))))</x:f>
        <x:v>0</x:v>
      </x:c>
      <x:c r="L18" s="116" t="n">
        <x:f>IF(AND($C$2="Toutes",$G$2="Tous"),SUMIFS('Calendrier éditorial'!$AS$6:$AS$205,'Calendrier éditorial'!$J$6:$J$205,"Publiée",'Calendrier éditorial'!$U$6:$U$205,H18),IF($C$2="Toutes",SUMIFS('Calendrier éditorial'!$AS$6:$AS$205,'Calendrier éditorial'!$J$6:$J$205,"Publiée",'Calendrier éditorial'!$D$6:$D$205,$G$2,'Calendrier éditorial'!$U$6:$U$205,H18),IF($G$2="Tous",SUMIFS('Calendrier éditorial'!$AS$6:$AS$205,'Calendrier éditorial'!$J$6:$J$205,"Publiée",'Calendrier éditorial'!$I$6:$I$205,$C$2,'Calendrier éditorial'!$U$6:$U$205,H18),SUMIFS('Calendrier éditorial'!$AS$6:$AS$205,'Calendrier éditorial'!$J$6:$J$205,"Publiée",'Calendrier éditorial'!$I$6:$I$205,$C$2,'Calendrier éditorial'!$D$6:$D$205,$G$2,'Calendrier éditorial'!$U$6:$U$205,H18))))</x:f>
        <x:v>0</x:v>
      </x:c>
      <x:c r="N18" s="25" t="str">
        <x:v>Inspirer</x:v>
      </x:c>
      <x:c r="O18" s="25" t="n">
        <x:f>IF(AND($C$2="Toutes",$G$2="Tous"),COUNTIFS('Calendrier éditorial'!$J$6:$J$205,"Publiée",'Calendrier éditorial'!$T$6:$T$205,N18),IF($C$2="Toutes",COUNTIFS('Calendrier éditorial'!$J$6:$J$205,"Publiée",'Calendrier éditorial'!$D$6:$D$205,$G$2,'Calendrier éditorial'!$T$6:$T$205,N18),IF($G$2="Tous",COUNTIFS('Calendrier éditorial'!$J$6:$J$205,"Publiée",'Calendrier éditorial'!$I$6:$I$205,$C$2,'Calendrier éditorial'!$T$6:$T$205,N18),COUNTIFS('Calendrier éditorial'!$J$6:$J$205,"Publiée",'Calendrier éditorial'!$I$6:$I$205,$C$2,'Calendrier éditorial'!$D$6:$D$205,$G$2,'Calendrier éditorial'!$T$6:$T$205,N18))))</x:f>
        <x:v>0</x:v>
      </x:c>
      <x:c r="P18" s="25" t="n">
        <x:f>IF(AND($C$2="Toutes",$G$2="Tous"),SUMIFS('Calendrier éditorial'!$AD$6:$AD$205,'Calendrier éditorial'!$J$6:$J$205,"Publiée",'Calendrier éditorial'!$T$6:$T$205,N18),IF($C$2="Toutes",SUMIFS('Calendrier éditorial'!$AD$6:$AD$205,'Calendrier éditorial'!$J$6:$J$205,"Publiée",'Calendrier éditorial'!$D$6:$D$205,$G$2,'Calendrier éditorial'!$T$6:$T$205,N18),IF($G$2="Tous",SUMIFS('Calendrier éditorial'!$AD$6:$AD$205,'Calendrier éditorial'!$J$6:$J$205,"Publiée",'Calendrier éditorial'!$I$6:$I$205,$C$2,'Calendrier éditorial'!$T$6:$T$205,N18),SUMIFS('Calendrier éditorial'!$AD$6:$AD$205,'Calendrier éditorial'!$J$6:$J$205,"Publiée",'Calendrier éditorial'!$I$6:$I$205,$C$2,'Calendrier éditorial'!$D$6:$D$205,$G$2,'Calendrier éditorial'!$T$6:$T$205,N18))))</x:f>
        <x:v>0</x:v>
      </x:c>
      <x:c r="Q18" s="25" t="n">
        <x:f>IF(AND($C$2="Toutes",$G$2="Tous"),SUMIFS('Calendrier éditorial'!$AK$6:$AK$205,'Calendrier éditorial'!$J$6:$J$205,"Publiée",'Calendrier éditorial'!$T$6:$T$205,N18),IF($C$2="Toutes",SUMIFS('Calendrier éditorial'!$AK$6:$AK$205,'Calendrier éditorial'!$J$6:$J$205,"Publiée",'Calendrier éditorial'!$D$6:$D$205,$G$2,'Calendrier éditorial'!$T$6:$T$205,N18),IF($G$2="Tous",SUMIFS('Calendrier éditorial'!$AK$6:$AK$205,'Calendrier éditorial'!$J$6:$J$205,"Publiée",'Calendrier éditorial'!$I$6:$I$205,$C$2,'Calendrier éditorial'!$T$6:$T$205,N18),SUMIFS('Calendrier éditorial'!$AK$6:$AK$205,'Calendrier éditorial'!$J$6:$J$205,"Publiée",'Calendrier éditorial'!$I$6:$I$205,$C$2,'Calendrier éditorial'!$D$6:$D$205,$G$2,'Calendrier éditorial'!$T$6:$T$205,N18))))</x:f>
        <x:v>0</x:v>
      </x:c>
      <x:c r="R18" s="118" t="n">
        <x:f>IFERROR(Q18/P18,0)</x:f>
        <x:v>0</x:v>
      </x:c>
      <x:c r="T18" s="25" t="str">
        <x:v>Rendez-vous</x:v>
      </x:c>
      <x:c r="U18" s="25" t="n">
        <x:f>IF(AND($C$2="Toutes",$G$2="Tous"),SUMIFS('Calendrier éditorial'!$AP$6:$AP$205,'Calendrier éditorial'!$J$6:$J$205,"Publiée"),IF($C$2="Toutes",SUMIFS('Calendrier éditorial'!$AP$6:$AP$205,'Calendrier éditorial'!$J$6:$J$205,"Publiée",'Calendrier éditorial'!$D$6:$D$205,$G$2),IF($G$2="Tous",SUMIFS('Calendrier éditorial'!$AP$6:$AP$205,'Calendrier éditorial'!$J$6:$J$205,"Publiée",'Calendrier éditorial'!$I$6:$I$205,$C$2),SUMIFS('Calendrier éditorial'!$AP$6:$AP$205,'Calendrier éditorial'!$J$6:$J$205,"Publiée",'Calendrier éditorial'!$I$6:$I$205,$C$2,'Calendrier éditorial'!$D$6:$D$205,$G$2))))</x:f>
        <x:v>0</x:v>
      </x:c>
    </x:row>
    <x:row r="19">
      <x:c r="A19" s="25" t="str">
        <x:v>TikTok</x:v>
      </x:c>
      <x:c r="B19" s="25" t="n">
        <x:f>IF($G$2="Tous",COUNTIFS('Calendrier éditorial'!$J$6:$J$205,"Publiée",'Calendrier éditorial'!$I$6:$I$205,A19),COUNTIFS('Calendrier éditorial'!$J$6:$J$205,"Publiée",'Calendrier éditorial'!$I$6:$I$205,A19,'Calendrier éditorial'!$D$6:$D$205,$G$2))</x:f>
        <x:v>0</x:v>
      </x:c>
      <x:c r="C19" s="25" t="n">
        <x:f>IF($G$2="Tous",SUMIFS('Calendrier éditorial'!$AD$6:$AD$205,'Calendrier éditorial'!$J$6:$J$205,"Publiée",'Calendrier éditorial'!$I$6:$I$205,A19),SUMIFS('Calendrier éditorial'!$AD$6:$AD$205,'Calendrier éditorial'!$J$6:$J$205,"Publiée",'Calendrier éditorial'!$I$6:$I$205,A19,'Calendrier éditorial'!$D$6:$D$205,$G$2))</x:f>
        <x:v>0</x:v>
      </x:c>
      <x:c r="D19" s="25" t="n">
        <x:f>IF($G$2="Tous",SUMIFS('Calendrier éditorial'!$AK$6:$AK$205,'Calendrier éditorial'!$J$6:$J$205,"Publiée",'Calendrier éditorial'!$I$6:$I$205,A19),SUMIFS('Calendrier éditorial'!$AK$6:$AK$205,'Calendrier éditorial'!$J$6:$J$205,"Publiée",'Calendrier éditorial'!$I$6:$I$205,A19,'Calendrier éditorial'!$D$6:$D$205,$G$2))</x:f>
        <x:v>0</x:v>
      </x:c>
      <x:c r="E19" s="25" t="n">
        <x:f>IF($G$2="Tous",SUMIFS('Calendrier éditorial'!$AO$6:$AO$205,'Calendrier éditorial'!$J$6:$J$205,"Publiée",'Calendrier éditorial'!$I$6:$I$205,A19),SUMIFS('Calendrier éditorial'!$AO$6:$AO$205,'Calendrier éditorial'!$J$6:$J$205,"Publiée",'Calendrier éditorial'!$I$6:$I$205,A19,'Calendrier éditorial'!$D$6:$D$205,$G$2))</x:f>
        <x:v>0</x:v>
      </x:c>
      <x:c r="F19" s="116" t="n">
        <x:f>IF($G$2="Tous",SUMIFS('Calendrier éditorial'!$AS$6:$AS$205,'Calendrier éditorial'!$J$6:$J$205,"Publiée",'Calendrier éditorial'!$I$6:$I$205,A19),SUMIFS('Calendrier éditorial'!$AS$6:$AS$205,'Calendrier éditorial'!$J$6:$J$205,"Publiée",'Calendrier éditorial'!$I$6:$I$205,A19,'Calendrier éditorial'!$D$6:$D$205,$G$2))</x:f>
        <x:v>0</x:v>
      </x:c>
      <x:c r="H19" s="25" t="str">
        <x:v>Do</x:v>
      </x:c>
      <x:c r="I19" s="25" t="n">
        <x:f>IF(AND($C$2="Toutes",$G$2="Tous"),COUNTIFS('Calendrier éditorial'!$J$6:$J$205,"Publiée",'Calendrier éditorial'!$U$6:$U$205,H19),IF($C$2="Toutes",COUNTIFS('Calendrier éditorial'!$J$6:$J$205,"Publiée",'Calendrier éditorial'!$D$6:$D$205,$G$2,'Calendrier éditorial'!$U$6:$U$205,H19),IF($G$2="Tous",COUNTIFS('Calendrier éditorial'!$J$6:$J$205,"Publiée",'Calendrier éditorial'!$I$6:$I$205,$C$2,'Calendrier éditorial'!$U$6:$U$205,H19),COUNTIFS('Calendrier éditorial'!$J$6:$J$205,"Publiée",'Calendrier éditorial'!$I$6:$I$205,$C$2,'Calendrier éditorial'!$D$6:$D$205,$G$2,'Calendrier éditorial'!$U$6:$U$205,H19))))</x:f>
        <x:v>0</x:v>
      </x:c>
      <x:c r="J19" s="25" t="n">
        <x:f>IF(AND($C$2="Toutes",$G$2="Tous"),SUMIFS('Calendrier éditorial'!$AD$6:$AD$205,'Calendrier éditorial'!$J$6:$J$205,"Publiée",'Calendrier éditorial'!$U$6:$U$205,H19),IF($C$2="Toutes",SUMIFS('Calendrier éditorial'!$AD$6:$AD$205,'Calendrier éditorial'!$J$6:$J$205,"Publiée",'Calendrier éditorial'!$D$6:$D$205,$G$2,'Calendrier éditorial'!$U$6:$U$205,H19),IF($G$2="Tous",SUMIFS('Calendrier éditorial'!$AD$6:$AD$205,'Calendrier éditorial'!$J$6:$J$205,"Publiée",'Calendrier éditorial'!$I$6:$I$205,$C$2,'Calendrier éditorial'!$U$6:$U$205,H19),SUMIFS('Calendrier éditorial'!$AD$6:$AD$205,'Calendrier éditorial'!$J$6:$J$205,"Publiée",'Calendrier éditorial'!$I$6:$I$205,$C$2,'Calendrier éditorial'!$D$6:$D$205,$G$2,'Calendrier éditorial'!$U$6:$U$205,H19))))</x:f>
        <x:v>0</x:v>
      </x:c>
      <x:c r="K19" s="25" t="n">
        <x:f>IF(AND($C$2="Toutes",$G$2="Tous"),SUMIFS('Calendrier éditorial'!$AK$6:$AK$205,'Calendrier éditorial'!$J$6:$J$205,"Publiée",'Calendrier éditorial'!$U$6:$U$205,H19),IF($C$2="Toutes",SUMIFS('Calendrier éditorial'!$AK$6:$AK$205,'Calendrier éditorial'!$J$6:$J$205,"Publiée",'Calendrier éditorial'!$D$6:$D$205,$G$2,'Calendrier éditorial'!$U$6:$U$205,H19),IF($G$2="Tous",SUMIFS('Calendrier éditorial'!$AK$6:$AK$205,'Calendrier éditorial'!$J$6:$J$205,"Publiée",'Calendrier éditorial'!$I$6:$I$205,$C$2,'Calendrier éditorial'!$U$6:$U$205,H19),SUMIFS('Calendrier éditorial'!$AK$6:$AK$205,'Calendrier éditorial'!$J$6:$J$205,"Publiée",'Calendrier éditorial'!$I$6:$I$205,$C$2,'Calendrier éditorial'!$D$6:$D$205,$G$2,'Calendrier éditorial'!$U$6:$U$205,H19))))</x:f>
        <x:v>0</x:v>
      </x:c>
      <x:c r="L19" s="116" t="n">
        <x:f>IF(AND($C$2="Toutes",$G$2="Tous"),SUMIFS('Calendrier éditorial'!$AS$6:$AS$205,'Calendrier éditorial'!$J$6:$J$205,"Publiée",'Calendrier éditorial'!$U$6:$U$205,H19),IF($C$2="Toutes",SUMIFS('Calendrier éditorial'!$AS$6:$AS$205,'Calendrier éditorial'!$J$6:$J$205,"Publiée",'Calendrier éditorial'!$D$6:$D$205,$G$2,'Calendrier éditorial'!$U$6:$U$205,H19),IF($G$2="Tous",SUMIFS('Calendrier éditorial'!$AS$6:$AS$205,'Calendrier éditorial'!$J$6:$J$205,"Publiée",'Calendrier éditorial'!$I$6:$I$205,$C$2,'Calendrier éditorial'!$U$6:$U$205,H19),SUMIFS('Calendrier éditorial'!$AS$6:$AS$205,'Calendrier éditorial'!$J$6:$J$205,"Publiée",'Calendrier éditorial'!$I$6:$I$205,$C$2,'Calendrier éditorial'!$D$6:$D$205,$G$2,'Calendrier éditorial'!$U$6:$U$205,H19))))</x:f>
        <x:v>0</x:v>
      </x:c>
      <x:c r="N19" s="25" t="str">
        <x:v>Promouvoir</x:v>
      </x:c>
      <x:c r="O19" s="25" t="n">
        <x:f>IF(AND($C$2="Toutes",$G$2="Tous"),COUNTIFS('Calendrier éditorial'!$J$6:$J$205,"Publiée",'Calendrier éditorial'!$T$6:$T$205,N19),IF($C$2="Toutes",COUNTIFS('Calendrier éditorial'!$J$6:$J$205,"Publiée",'Calendrier éditorial'!$D$6:$D$205,$G$2,'Calendrier éditorial'!$T$6:$T$205,N19),IF($G$2="Tous",COUNTIFS('Calendrier éditorial'!$J$6:$J$205,"Publiée",'Calendrier éditorial'!$I$6:$I$205,$C$2,'Calendrier éditorial'!$T$6:$T$205,N19),COUNTIFS('Calendrier éditorial'!$J$6:$J$205,"Publiée",'Calendrier éditorial'!$I$6:$I$205,$C$2,'Calendrier éditorial'!$D$6:$D$205,$G$2,'Calendrier éditorial'!$T$6:$T$205,N19))))</x:f>
        <x:v>0</x:v>
      </x:c>
      <x:c r="P19" s="25" t="n">
        <x:f>IF(AND($C$2="Toutes",$G$2="Tous"),SUMIFS('Calendrier éditorial'!$AD$6:$AD$205,'Calendrier éditorial'!$J$6:$J$205,"Publiée",'Calendrier éditorial'!$T$6:$T$205,N19),IF($C$2="Toutes",SUMIFS('Calendrier éditorial'!$AD$6:$AD$205,'Calendrier éditorial'!$J$6:$J$205,"Publiée",'Calendrier éditorial'!$D$6:$D$205,$G$2,'Calendrier éditorial'!$T$6:$T$205,N19),IF($G$2="Tous",SUMIFS('Calendrier éditorial'!$AD$6:$AD$205,'Calendrier éditorial'!$J$6:$J$205,"Publiée",'Calendrier éditorial'!$I$6:$I$205,$C$2,'Calendrier éditorial'!$T$6:$T$205,N19),SUMIFS('Calendrier éditorial'!$AD$6:$AD$205,'Calendrier éditorial'!$J$6:$J$205,"Publiée",'Calendrier éditorial'!$I$6:$I$205,$C$2,'Calendrier éditorial'!$D$6:$D$205,$G$2,'Calendrier éditorial'!$T$6:$T$205,N19))))</x:f>
        <x:v>0</x:v>
      </x:c>
      <x:c r="Q19" s="25" t="n">
        <x:f>IF(AND($C$2="Toutes",$G$2="Tous"),SUMIFS('Calendrier éditorial'!$AK$6:$AK$205,'Calendrier éditorial'!$J$6:$J$205,"Publiée",'Calendrier éditorial'!$T$6:$T$205,N19),IF($C$2="Toutes",SUMIFS('Calendrier éditorial'!$AK$6:$AK$205,'Calendrier éditorial'!$J$6:$J$205,"Publiée",'Calendrier éditorial'!$D$6:$D$205,$G$2,'Calendrier éditorial'!$T$6:$T$205,N19),IF($G$2="Tous",SUMIFS('Calendrier éditorial'!$AK$6:$AK$205,'Calendrier éditorial'!$J$6:$J$205,"Publiée",'Calendrier éditorial'!$I$6:$I$205,$C$2,'Calendrier éditorial'!$T$6:$T$205,N19),SUMIFS('Calendrier éditorial'!$AK$6:$AK$205,'Calendrier éditorial'!$J$6:$J$205,"Publiée",'Calendrier éditorial'!$I$6:$I$205,$C$2,'Calendrier éditorial'!$D$6:$D$205,$G$2,'Calendrier éditorial'!$T$6:$T$205,N19))))</x:f>
        <x:v>0</x:v>
      </x:c>
      <x:c r="R19" s="118" t="n">
        <x:f>IFERROR(Q19/P19,0)</x:f>
        <x:v>0</x:v>
      </x:c>
      <x:c r="T19" s="25" t="str">
        <x:v>Missions signées</x:v>
      </x:c>
      <x:c r="U19" s="25" t="n">
        <x:f>IF(AND($C$2="Toutes",$G$2="Tous"),COUNTIFS('Calendrier éditorial'!$J$6:$J$205,"Publiée",'Calendrier éditorial'!$AQ$6:$AQ$205,"Oui"),IF($C$2="Toutes",COUNTIFS('Calendrier éditorial'!$J$6:$J$205,"Publiée",'Calendrier éditorial'!$D$6:$D$205,$G$2,'Calendrier éditorial'!$AQ$6:$AQ$205,"Oui"),IF($G$2="Tous",COUNTIFS('Calendrier éditorial'!$J$6:$J$205,"Publiée",'Calendrier éditorial'!$I$6:$I$205,$C$2,'Calendrier éditorial'!$AQ$6:$AQ$205,"Oui"),COUNTIFS('Calendrier éditorial'!$J$6:$J$205,"Publiée",'Calendrier éditorial'!$I$6:$I$205,$C$2,'Calendrier éditorial'!$D$6:$D$205,$G$2,'Calendrier éditorial'!$AQ$6:$AQ$205,"Oui"))))</x:f>
        <x:v>0</x:v>
      </x:c>
    </x:row>
    <x:row r="20">
      <x:c r="A20" s="25" t="str">
        <x:v>YouTube</x:v>
      </x:c>
      <x:c r="B20" s="25" t="n">
        <x:f>IF($G$2="Tous",COUNTIFS('Calendrier éditorial'!$J$6:$J$205,"Publiée",'Calendrier éditorial'!$I$6:$I$205,A20),COUNTIFS('Calendrier éditorial'!$J$6:$J$205,"Publiée",'Calendrier éditorial'!$I$6:$I$205,A20,'Calendrier éditorial'!$D$6:$D$205,$G$2))</x:f>
        <x:v>0</x:v>
      </x:c>
      <x:c r="C20" s="25" t="n">
        <x:f>IF($G$2="Tous",SUMIFS('Calendrier éditorial'!$AD$6:$AD$205,'Calendrier éditorial'!$J$6:$J$205,"Publiée",'Calendrier éditorial'!$I$6:$I$205,A20),SUMIFS('Calendrier éditorial'!$AD$6:$AD$205,'Calendrier éditorial'!$J$6:$J$205,"Publiée",'Calendrier éditorial'!$I$6:$I$205,A20,'Calendrier éditorial'!$D$6:$D$205,$G$2))</x:f>
        <x:v>0</x:v>
      </x:c>
      <x:c r="D20" s="25" t="n">
        <x:f>IF($G$2="Tous",SUMIFS('Calendrier éditorial'!$AK$6:$AK$205,'Calendrier éditorial'!$J$6:$J$205,"Publiée",'Calendrier éditorial'!$I$6:$I$205,A20),SUMIFS('Calendrier éditorial'!$AK$6:$AK$205,'Calendrier éditorial'!$J$6:$J$205,"Publiée",'Calendrier éditorial'!$I$6:$I$205,A20,'Calendrier éditorial'!$D$6:$D$205,$G$2))</x:f>
        <x:v>0</x:v>
      </x:c>
      <x:c r="E20" s="25" t="n">
        <x:f>IF($G$2="Tous",SUMIFS('Calendrier éditorial'!$AO$6:$AO$205,'Calendrier éditorial'!$J$6:$J$205,"Publiée",'Calendrier éditorial'!$I$6:$I$205,A20),SUMIFS('Calendrier éditorial'!$AO$6:$AO$205,'Calendrier éditorial'!$J$6:$J$205,"Publiée",'Calendrier éditorial'!$I$6:$I$205,A20,'Calendrier éditorial'!$D$6:$D$205,$G$2))</x:f>
        <x:v>0</x:v>
      </x:c>
      <x:c r="F20" s="116" t="n">
        <x:f>IF($G$2="Tous",SUMIFS('Calendrier éditorial'!$AS$6:$AS$205,'Calendrier éditorial'!$J$6:$J$205,"Publiée",'Calendrier éditorial'!$I$6:$I$205,A20),SUMIFS('Calendrier éditorial'!$AS$6:$AS$205,'Calendrier éditorial'!$J$6:$J$205,"Publiée",'Calendrier éditorial'!$I$6:$I$205,A20,'Calendrier éditorial'!$D$6:$D$205,$G$2))</x:f>
        <x:v>0</x:v>
      </x:c>
      <x:c r="N20" s="25" t="str">
        <x:v>Divertir</x:v>
      </x:c>
      <x:c r="O20" s="25" t="n">
        <x:f>IF(AND($C$2="Toutes",$G$2="Tous"),COUNTIFS('Calendrier éditorial'!$J$6:$J$205,"Publiée",'Calendrier éditorial'!$T$6:$T$205,N20),IF($C$2="Toutes",COUNTIFS('Calendrier éditorial'!$J$6:$J$205,"Publiée",'Calendrier éditorial'!$D$6:$D$205,$G$2,'Calendrier éditorial'!$T$6:$T$205,N20),IF($G$2="Tous",COUNTIFS('Calendrier éditorial'!$J$6:$J$205,"Publiée",'Calendrier éditorial'!$I$6:$I$205,$C$2,'Calendrier éditorial'!$T$6:$T$205,N20),COUNTIFS('Calendrier éditorial'!$J$6:$J$205,"Publiée",'Calendrier éditorial'!$I$6:$I$205,$C$2,'Calendrier éditorial'!$D$6:$D$205,$G$2,'Calendrier éditorial'!$T$6:$T$205,N20))))</x:f>
        <x:v>0</x:v>
      </x:c>
      <x:c r="P20" s="25" t="n">
        <x:f>IF(AND($C$2="Toutes",$G$2="Tous"),SUMIFS('Calendrier éditorial'!$AD$6:$AD$205,'Calendrier éditorial'!$J$6:$J$205,"Publiée",'Calendrier éditorial'!$T$6:$T$205,N20),IF($C$2="Toutes",SUMIFS('Calendrier éditorial'!$AD$6:$AD$205,'Calendrier éditorial'!$J$6:$J$205,"Publiée",'Calendrier éditorial'!$D$6:$D$205,$G$2,'Calendrier éditorial'!$T$6:$T$205,N20),IF($G$2="Tous",SUMIFS('Calendrier éditorial'!$AD$6:$AD$205,'Calendrier éditorial'!$J$6:$J$205,"Publiée",'Calendrier éditorial'!$I$6:$I$205,$C$2,'Calendrier éditorial'!$T$6:$T$205,N20),SUMIFS('Calendrier éditorial'!$AD$6:$AD$205,'Calendrier éditorial'!$J$6:$J$205,"Publiée",'Calendrier éditorial'!$I$6:$I$205,$C$2,'Calendrier éditorial'!$D$6:$D$205,$G$2,'Calendrier éditorial'!$T$6:$T$205,N20))))</x:f>
        <x:v>0</x:v>
      </x:c>
      <x:c r="Q20" s="25" t="n">
        <x:f>IF(AND($C$2="Toutes",$G$2="Tous"),SUMIFS('Calendrier éditorial'!$AK$6:$AK$205,'Calendrier éditorial'!$J$6:$J$205,"Publiée",'Calendrier éditorial'!$T$6:$T$205,N20),IF($C$2="Toutes",SUMIFS('Calendrier éditorial'!$AK$6:$AK$205,'Calendrier éditorial'!$J$6:$J$205,"Publiée",'Calendrier éditorial'!$D$6:$D$205,$G$2,'Calendrier éditorial'!$T$6:$T$205,N20),IF($G$2="Tous",SUMIFS('Calendrier éditorial'!$AK$6:$AK$205,'Calendrier éditorial'!$J$6:$J$205,"Publiée",'Calendrier éditorial'!$I$6:$I$205,$C$2,'Calendrier éditorial'!$T$6:$T$205,N20),SUMIFS('Calendrier éditorial'!$AK$6:$AK$205,'Calendrier éditorial'!$J$6:$J$205,"Publiée",'Calendrier éditorial'!$I$6:$I$205,$C$2,'Calendrier éditorial'!$D$6:$D$205,$G$2,'Calendrier éditorial'!$T$6:$T$205,N20))))</x:f>
        <x:v>0</x:v>
      </x:c>
      <x:c r="R20" s="118" t="n">
        <x:f>IFERROR(Q20/P20,0)</x:f>
        <x:v>0</x:v>
      </x:c>
    </x:row>
    <x:row r="57">
      <x:c r="A57" s="120" t="str">
        <x:v>Lecture recommandée : suivre l’évolution mensuelle, comparer des contenus comparables et documenter les décisions dans les colonnes Analyse / Action corrective. Les données ViSiB sont fictives.</x:v>
      </x:c>
      <x:c r="B57" s="120"/>
      <x:c r="C57" s="120"/>
      <x:c r="D57" s="120"/>
      <x:c r="E57" s="120"/>
      <x:c r="F57" s="120"/>
      <x:c r="G57" s="120"/>
      <x:c r="H57" s="120"/>
      <x:c r="I57" s="120"/>
      <x:c r="J57" s="120"/>
      <x:c r="K57" s="120"/>
      <x:c r="L57" s="120"/>
      <x:c r="M57" s="120"/>
      <x:c r="N57" s="120"/>
      <x:c r="O57" s="120"/>
      <x:c r="P57" s="120"/>
      <x:c r="Q57" s="120"/>
      <x:c r="R57" s="120"/>
      <x:c r="S57" s="120"/>
      <x:c r="T57" s="120"/>
      <x:c r="U57" s="120"/>
      <x:c r="V57" s="120"/>
      <x:c r="W57" s="120"/>
      <x:c r="X57" s="120"/>
      <x:c r="Y57" s="120"/>
    </x:row>
    <x:row r="58">
      <x:c r="A58" s="120"/>
      <x:c r="B58" s="120"/>
      <x:c r="C58" s="120"/>
      <x:c r="D58" s="120"/>
      <x:c r="E58" s="120"/>
      <x:c r="F58" s="120"/>
      <x:c r="G58" s="120"/>
      <x:c r="H58" s="120"/>
      <x:c r="I58" s="120"/>
      <x:c r="J58" s="120"/>
      <x:c r="K58" s="120"/>
      <x:c r="L58" s="120"/>
      <x:c r="M58" s="120"/>
      <x:c r="N58" s="120"/>
      <x:c r="O58" s="120"/>
      <x:c r="P58" s="120"/>
      <x:c r="Q58" s="120"/>
      <x:c r="R58" s="120"/>
      <x:c r="S58" s="120"/>
      <x:c r="T58" s="120"/>
      <x:c r="U58" s="120"/>
      <x:c r="V58" s="120"/>
      <x:c r="W58" s="120"/>
      <x:c r="X58" s="120"/>
      <x:c r="Y58" s="120"/>
    </x:row>
  </x:sheetData>
  <x:mergeCells>
    <x:mergeCell ref="A1:Y1"/>
    <x:mergeCell ref="A2:B2"/>
    <x:mergeCell ref="C2:D2"/>
    <x:mergeCell ref="E2:F2"/>
    <x:mergeCell ref="G2:H2"/>
    <x:mergeCell ref="A5:D5"/>
    <x:mergeCell ref="A6:D8"/>
    <x:mergeCell ref="E5:H5"/>
    <x:mergeCell ref="E6:H8"/>
    <x:mergeCell ref="I5:L5"/>
    <x:mergeCell ref="I6:L8"/>
    <x:mergeCell ref="M5:P5"/>
    <x:mergeCell ref="M6:P8"/>
    <x:mergeCell ref="Q5:T5"/>
    <x:mergeCell ref="Q6:T8"/>
    <x:mergeCell ref="U5:X5"/>
    <x:mergeCell ref="U6:X8"/>
    <x:mergeCell ref="A10:D10"/>
    <x:mergeCell ref="A11:D13"/>
    <x:mergeCell ref="E10:H10"/>
    <x:mergeCell ref="E11:H13"/>
    <x:mergeCell ref="I10:L10"/>
    <x:mergeCell ref="I11:L13"/>
    <x:mergeCell ref="M10:P10"/>
    <x:mergeCell ref="M11:P13"/>
    <x:mergeCell ref="Q10:T10"/>
    <x:mergeCell ref="Q11:T13"/>
    <x:mergeCell ref="U10:X10"/>
    <x:mergeCell ref="U11:X13"/>
    <x:mergeCell ref="A57:Y58"/>
  </x:mergeCells>
  <x:dataValidations count="2">
    <x:dataValidation type="list" sqref="C2:D2">
      <x:formula1>"Toutes,Facebook,Instagram,TikTok,YouTube"</x:formula1>
    </x:dataValidation>
    <x:dataValidation type="list" sqref="G2:H2">
      <x:formula1>"Tous,Janvier,Février,Mars,Avril,Mai,Juin,Juillet,Août,Septembre,Octobre,Novembre,Décembre"</x:formula1>
    </x:dataValidation>
  </x:dataValidations>
  <x:pageMargins left="0.7" right="0.7" top="0.75" bottom="0.75" header="0.3" footer="0.3"/>
  <x:drawing xmlns:r="http://schemas.openxmlformats.org/officeDocument/2006/relationships" r:id="Rba7ec60977fe4e27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42" hidden="0" customWidth="1"/>
    <x:col min="4" max="4" width="37" hidden="0" customWidth="1"/>
    <x:col min="5" max="5" width="24" hidden="0" customWidth="1"/>
    <x:col min="6" max="6" width="42" hidden="0" customWidth="1"/>
    <x:col min="7" max="7" width="20" hidden="0" customWidth="1"/>
    <x:col min="8" max="8" width="42" hidden="0" customWidth="1"/>
  </x:cols>
  <x:sheetData>
    <x:row r="1">
      <x:c r="A1" s="5" t="str">
        <x:v>GLOSSAIRE DES INDICATEURS — CHOISIR CE QUI ÉCLAIRE UNE DÉCISION</x:v>
      </x:c>
      <x:c r="B1" s="5"/>
      <x:c r="C1" s="5"/>
      <x:c r="D1" s="5"/>
      <x:c r="E1" s="5"/>
      <x:c r="F1" s="5"/>
      <x:c r="G1" s="5"/>
      <x:c r="H1" s="5"/>
    </x:row>
    <x:row r="3">
      <x:c r="A3" s="42" t="str">
        <x:v>Catégorie</x:v>
      </x:c>
      <x:c r="B3" s="42" t="str">
        <x:v>Indicateur</x:v>
      </x:c>
      <x:c r="C3" s="42" t="str">
        <x:v>Définition</x:v>
      </x:c>
      <x:c r="D3" s="42" t="str">
        <x:v>Formule / source</x:v>
      </x:c>
      <x:c r="E3" s="42" t="str">
        <x:v>Objectif associé</x:v>
      </x:c>
      <x:c r="F3" s="42" t="str">
        <x:v>Interprétation</x:v>
      </x:c>
      <x:c r="G3" s="42" t="str">
        <x:v>Fréquence</x:v>
      </x:c>
      <x:c r="H3" s="42" t="str">
        <x:v>Limite</x:v>
      </x:c>
    </x:row>
    <x:row r="4">
      <x:c r="A4" s="25" t="str">
        <x:v>Audience</x:v>
      </x:c>
      <x:c r="B4" s="25" t="str">
        <x:v>Nouveaux abonnés</x:v>
      </x:c>
      <x:c r="C4" s="25" t="str">
        <x:v>Nombre de personnes ayant commencé à suivre le compte sur la période.</x:v>
      </x:c>
      <x:c r="D4" s="25" t="str">
        <x:v>Statistiques natives de la plateforme.</x:v>
      </x:c>
      <x:c r="E4" s="25" t="str">
        <x:v>Visibilité / Notoriété</x:v>
      </x:c>
      <x:c r="F4" s="25" t="str">
        <x:v>Mesure la croissance, mais pas la qualité des prospects.</x:v>
      </x:c>
      <x:c r="G4" s="25" t="str">
        <x:v>Mensuelle</x:v>
      </x:c>
      <x:c r="H4" s="25" t="str">
        <x:v>Les plateformes ne donnent pas toujours le détail par publication.</x:v>
      </x:c>
    </x:row>
    <x:row r="5">
      <x:c r="A5" s="25" t="str">
        <x:v>Audience</x:v>
      </x:c>
      <x:c r="B5" s="25" t="str">
        <x:v>Croissance des abonnés</x:v>
      </x:c>
      <x:c r="C5" s="25" t="str">
        <x:v>Évolution relative du nombre d’abonnés.</x:v>
      </x:c>
      <x:c r="D5" s="25" t="str">
        <x:v>(Abonnés fin - abonnés début) / abonnés début.</x:v>
      </x:c>
      <x:c r="E5" s="25" t="str">
        <x:v>Notoriété</x:v>
      </x:c>
      <x:c r="F5" s="25" t="str">
        <x:v>Permet de comparer des périodes de tailles différentes.</x:v>
      </x:c>
      <x:c r="G5" s="25" t="str">
        <x:v>Mensuelle</x:v>
      </x:c>
      <x:c r="H5" s="25" t="str">
        <x:v>Peu fiable sur une base initiale très faible.</x:v>
      </x:c>
    </x:row>
    <x:row r="6">
      <x:c r="A6" s="25" t="str">
        <x:v>Visibilité</x:v>
      </x:c>
      <x:c r="B6" s="25" t="str">
        <x:v>Impressions</x:v>
      </x:c>
      <x:c r="C6" s="25" t="str">
        <x:v>Nombre total d’affichages du contenu, y compris plusieurs affichages à une même personne.</x:v>
      </x:c>
      <x:c r="D6" s="25" t="str">
        <x:v>Statistiques natives.</x:v>
      </x:c>
      <x:c r="E6" s="25" t="str">
        <x:v>Visibilité</x:v>
      </x:c>
      <x:c r="F6" s="25" t="str">
        <x:v>Mesure l’exposition totale.</x:v>
      </x:c>
      <x:c r="G6" s="25" t="str">
        <x:v>Hebdomadaire / mensuelle</x:v>
      </x:c>
      <x:c r="H6" s="25" t="str">
        <x:v>Ne correspond pas au nombre de personnes uniques.</x:v>
      </x:c>
    </x:row>
    <x:row r="7">
      <x:c r="A7" s="25" t="str">
        <x:v>Visibilité</x:v>
      </x:c>
      <x:c r="B7" s="25" t="str">
        <x:v>Portée</x:v>
      </x:c>
      <x:c r="C7" s="25" t="str">
        <x:v>Nombre de comptes uniques ayant vu le contenu.</x:v>
      </x:c>
      <x:c r="D7" s="25" t="str">
        <x:v>Statistiques natives.</x:v>
      </x:c>
      <x:c r="E7" s="25" t="str">
        <x:v>Visibilité / Notoriété</x:v>
      </x:c>
      <x:c r="F7" s="25" t="str">
        <x:v>Mesure l’étendue réelle de diffusion.</x:v>
      </x:c>
      <x:c r="G7" s="25" t="str">
        <x:v>Hebdomadaire / mensuelle</x:v>
      </x:c>
      <x:c r="H7" s="25" t="str">
        <x:v>Définition et disponibilité variables selon la plateforme.</x:v>
      </x:c>
    </x:row>
    <x:row r="8">
      <x:c r="A8" s="25" t="str">
        <x:v>Visibilité</x:v>
      </x:c>
      <x:c r="B8" s="25" t="str">
        <x:v>Vues vidéo</x:v>
      </x:c>
      <x:c r="C8" s="25" t="str">
        <x:v>Nombre de lectures comptabilisées par la plateforme.</x:v>
      </x:c>
      <x:c r="D8" s="25" t="str">
        <x:v>Statistiques natives.</x:v>
      </x:c>
      <x:c r="E8" s="25" t="str">
        <x:v>Visibilité</x:v>
      </x:c>
      <x:c r="F8" s="25" t="str">
        <x:v>Utile pour comparer des vidéos de format comparable.</x:v>
      </x:c>
      <x:c r="G8" s="25" t="str">
        <x:v>Par publication</x:v>
      </x:c>
      <x:c r="H8" s="25" t="str">
        <x:v>Le seuil de comptabilisation varie selon la plateforme.</x:v>
      </x:c>
    </x:row>
    <x:row r="9">
      <x:c r="A9" s="25" t="str">
        <x:v>Engagement</x:v>
      </x:c>
      <x:c r="B9" s="25" t="str">
        <x:v>J’aime</x:v>
      </x:c>
      <x:c r="C9" s="25" t="str">
        <x:v>Réaction simple à un contenu.</x:v>
      </x:c>
      <x:c r="D9" s="25" t="str">
        <x:v>Statistiques natives.</x:v>
      </x:c>
      <x:c r="E9" s="25" t="str">
        <x:v>Notoriété</x:v>
      </x:c>
      <x:c r="F9" s="25" t="str">
        <x:v>Signal faible d’intérêt.</x:v>
      </x:c>
      <x:c r="G9" s="25" t="str">
        <x:v>Par publication</x:v>
      </x:c>
      <x:c r="H9" s="25" t="str">
        <x:v>Facile à obtenir mais peu prédictif d’une conversion.</x:v>
      </x:c>
    </x:row>
    <x:row r="10">
      <x:c r="A10" s="25" t="str">
        <x:v>Engagement</x:v>
      </x:c>
      <x:c r="B10" s="25" t="str">
        <x:v>Commentaires</x:v>
      </x:c>
      <x:c r="C10" s="25" t="str">
        <x:v>Réponses publiques reçues.</x:v>
      </x:c>
      <x:c r="D10" s="25" t="str">
        <x:v>Statistiques natives.</x:v>
      </x:c>
      <x:c r="E10" s="25" t="str">
        <x:v>Engagement / Fidélisation</x:v>
      </x:c>
      <x:c r="F10" s="25" t="str">
        <x:v>Mesure la capacité du contenu à provoquer un échange.</x:v>
      </x:c>
      <x:c r="G10" s="25" t="str">
        <x:v>Par publication</x:v>
      </x:c>
      <x:c r="H10" s="25" t="str">
        <x:v>La qualité des commentaires compte plus que leur nombre.</x:v>
      </x:c>
    </x:row>
    <x:row r="11">
      <x:c r="A11" s="25" t="str">
        <x:v>Engagement</x:v>
      </x:c>
      <x:c r="B11" s="25" t="str">
        <x:v>Partages</x:v>
      </x:c>
      <x:c r="C11" s="25" t="str">
        <x:v>Nombre de diffusions du contenu par les utilisateurs.</x:v>
      </x:c>
      <x:c r="D11" s="25" t="str">
        <x:v>Statistiques natives.</x:v>
      </x:c>
      <x:c r="E11" s="25" t="str">
        <x:v>Visibilité / Notoriété</x:v>
      </x:c>
      <x:c r="F11" s="25" t="str">
        <x:v>Signal fort d’utilité ou d’identification.</x:v>
      </x:c>
      <x:c r="G11" s="25" t="str">
        <x:v>Par publication</x:v>
      </x:c>
      <x:c r="H11" s="25" t="str">
        <x:v>Pas toujours disponible de façon homogène.</x:v>
      </x:c>
    </x:row>
    <x:row r="12">
      <x:c r="A12" s="25" t="str">
        <x:v>Engagement</x:v>
      </x:c>
      <x:c r="B12" s="25" t="str">
        <x:v>Enregistrements</x:v>
      </x:c>
      <x:c r="C12" s="25" t="str">
        <x:v>Nombre de sauvegardes du contenu.</x:v>
      </x:c>
      <x:c r="D12" s="25" t="str">
        <x:v>Statistiques natives.</x:v>
      </x:c>
      <x:c r="E12" s="25" t="str">
        <x:v>Think / Fidélisation</x:v>
      </x:c>
      <x:c r="F12" s="25" t="str">
        <x:v>Indique une valeur perçue durable.</x:v>
      </x:c>
      <x:c r="G12" s="25" t="str">
        <x:v>Par publication</x:v>
      </x:c>
      <x:c r="H12" s="25" t="str">
        <x:v>Indisponible ou nommé différemment selon les plateformes.</x:v>
      </x:c>
    </x:row>
    <x:row r="13">
      <x:c r="A13" s="25" t="str">
        <x:v>Engagement</x:v>
      </x:c>
      <x:c r="B13" s="25" t="str">
        <x:v>Engagement total</x:v>
      </x:c>
      <x:c r="C13" s="25" t="str">
        <x:v>Somme des interactions retenues.</x:v>
      </x:c>
      <x:c r="D13" s="25" t="str">
        <x:v>J’aime + commentaires + partages + enregistrements.</x:v>
      </x:c>
      <x:c r="E13" s="25" t="str">
        <x:v>Engagement</x:v>
      </x:c>
      <x:c r="F13" s="25" t="str">
        <x:v>Permet de comparer le volume d’interactions.</x:v>
      </x:c>
      <x:c r="G13" s="25" t="str">
        <x:v>Par publication</x:v>
      </x:c>
      <x:c r="H13" s="25" t="str">
        <x:v>Doit conserver la même définition dans le temps.</x:v>
      </x:c>
    </x:row>
    <x:row r="14">
      <x:c r="A14" s="25" t="str">
        <x:v>Engagement</x:v>
      </x:c>
      <x:c r="B14" s="25" t="str">
        <x:v>Taux d’engagement</x:v>
      </x:c>
      <x:c r="C14" s="25" t="str">
        <x:v>Part de la portée ayant généré une interaction.</x:v>
      </x:c>
      <x:c r="D14" s="25" t="str">
        <x:v>Engagement total / portée.</x:v>
      </x:c>
      <x:c r="E14" s="25" t="str">
        <x:v>Engagement</x:v>
      </x:c>
      <x:c r="F14" s="25" t="str">
        <x:v>Compare des contenus ayant des audiences différentes.</x:v>
      </x:c>
      <x:c r="G14" s="25" t="str">
        <x:v>Mensuelle / publication</x:v>
      </x:c>
      <x:c r="H14" s="25" t="str">
        <x:v>Éviter de mélanger des dénominateurs différents.</x:v>
      </x:c>
    </x:row>
    <x:row r="15">
      <x:c r="A15" s="25" t="str">
        <x:v>Trafic</x:v>
      </x:c>
      <x:c r="B15" s="25" t="str">
        <x:v>Clics</x:v>
      </x:c>
      <x:c r="C15" s="25" t="str">
        <x:v>Nombre de clics sur un lien ou un élément mesuré.</x:v>
      </x:c>
      <x:c r="D15" s="25" t="str">
        <x:v>Statistiques natives / outil de lien.</x:v>
      </x:c>
      <x:c r="E15" s="25" t="str">
        <x:v>Think / Do</x:v>
      </x:c>
      <x:c r="F15" s="25" t="str">
        <x:v>Mesure l’intérêt pour l’étape suivante.</x:v>
      </x:c>
      <x:c r="G15" s="25" t="str">
        <x:v>Par publication</x:v>
      </x:c>
      <x:c r="H15" s="25" t="str">
        <x:v>Un clic ne signifie pas une prise de contact.</x:v>
      </x:c>
    </x:row>
    <x:row r="16">
      <x:c r="A16" s="25" t="str">
        <x:v>Conversion</x:v>
      </x:c>
      <x:c r="B16" s="25" t="str">
        <x:v>Messages privés</x:v>
      </x:c>
      <x:c r="C16" s="25" t="str">
        <x:v>Nombre de conversations initiées à la suite des contenus.</x:v>
      </x:c>
      <x:c r="D16" s="25" t="str">
        <x:v>Messagerie de la plateforme.</x:v>
      </x:c>
      <x:c r="E16" s="25" t="str">
        <x:v>Think / Do</x:v>
      </x:c>
      <x:c r="F16" s="25" t="str">
        <x:v>Signale une intention plus forte qu’une réaction publique.</x:v>
      </x:c>
      <x:c r="G16" s="25" t="str">
        <x:v>Mensuelle</x:v>
      </x:c>
      <x:c r="H16" s="25" t="str">
        <x:v>Distinguer les demandes utiles des messages sans rapport.</x:v>
      </x:c>
    </x:row>
    <x:row r="17">
      <x:c r="A17" s="25" t="str">
        <x:v>Conversion</x:v>
      </x:c>
      <x:c r="B17" s="25" t="str">
        <x:v>Prises de contact</x:v>
      </x:c>
      <x:c r="C17" s="25" t="str">
        <x:v>Nombre de prospects ayant contacté le cabinet grâce aux réseaux sociaux.</x:v>
      </x:c>
      <x:c r="D17" s="25" t="str">
        <x:v>CRM, formulaire ou qualification manuelle.</x:v>
      </x:c>
      <x:c r="E17" s="25" t="str">
        <x:v>Do</x:v>
      </x:c>
      <x:c r="F17" s="25" t="str">
        <x:v>Relie la communication à une opportunité commerciale.</x:v>
      </x:c>
      <x:c r="G17" s="25" t="str">
        <x:v>Mensuelle</x:v>
      </x:c>
      <x:c r="H17" s="25" t="str">
        <x:v>L’origine doit être renseignée systématiquement.</x:v>
      </x:c>
    </x:row>
    <x:row r="18">
      <x:c r="A18" s="25" t="str">
        <x:v>Conversion</x:v>
      </x:c>
      <x:c r="B18" s="25" t="str">
        <x:v>Rendez-vous</x:v>
      </x:c>
      <x:c r="C18" s="25" t="str">
        <x:v>Nombre de rendez-vous issus des prises de contact.</x:v>
      </x:c>
      <x:c r="D18" s="25" t="str">
        <x:v>Agenda / CRM.</x:v>
      </x:c>
      <x:c r="E18" s="25" t="str">
        <x:v>Do</x:v>
      </x:c>
      <x:c r="F18" s="25" t="str">
        <x:v>Mesure la qualification des contacts.</x:v>
      </x:c>
      <x:c r="G18" s="25" t="str">
        <x:v>Mensuelle</x:v>
      </x:c>
      <x:c r="H18" s="25" t="str">
        <x:v>Un rendez-vous n’est pas encore une mission.</x:v>
      </x:c>
    </x:row>
    <x:row r="19">
      <x:c r="A19" s="25" t="str">
        <x:v>Business</x:v>
      </x:c>
      <x:c r="B19" s="25" t="str">
        <x:v>Missions signées</x:v>
      </x:c>
      <x:c r="C19" s="25" t="str">
        <x:v>Nombre de lettres de mission attribuées à la communication.</x:v>
      </x:c>
      <x:c r="D19" s="25" t="str">
        <x:v>Suivi commercial.</x:v>
      </x:c>
      <x:c r="E19" s="25" t="str">
        <x:v>Do</x:v>
      </x:c>
      <x:c r="F19" s="25" t="str">
        <x:v>Mesure la conversion réelle.</x:v>
      </x:c>
      <x:c r="G19" s="25" t="str">
        <x:v>Mensuelle / trimestrielle</x:v>
      </x:c>
      <x:c r="H19" s="25" t="str">
        <x:v>L’attribution peut être partagée entre plusieurs canaux.</x:v>
      </x:c>
    </x:row>
    <x:row r="20">
      <x:c r="A20" s="25" t="str">
        <x:v>Business</x:v>
      </x:c>
      <x:c r="B20" s="25" t="str">
        <x:v>Taux de conversion</x:v>
      </x:c>
      <x:c r="C20" s="25" t="str">
        <x:v>Part des contacts transformés en missions.</x:v>
      </x:c>
      <x:c r="D20" s="25" t="str">
        <x:v>Missions signées / prises de contact.</x:v>
      </x:c>
      <x:c r="E20" s="25" t="str">
        <x:v>Do</x:v>
      </x:c>
      <x:c r="F20" s="25" t="str">
        <x:v>Évalue la qualité du trafic généré.</x:v>
      </x:c>
      <x:c r="G20" s="25" t="str">
        <x:v>Trimestrielle</x:v>
      </x:c>
      <x:c r="H20" s="25" t="str">
        <x:v>Peu significatif avec un faible volume.</x:v>
      </x:c>
    </x:row>
    <x:row r="21">
      <x:c r="A21" s="25" t="str">
        <x:v>Business</x:v>
      </x:c>
      <x:c r="B21" s="25" t="str">
        <x:v>CA généré</x:v>
      </x:c>
      <x:c r="C21" s="25" t="str">
        <x:v>Chiffre d’affaires associé aux missions obtenues.</x:v>
      </x:c>
      <x:c r="D21" s="25" t="str">
        <x:v>Suivi commercial et facturation.</x:v>
      </x:c>
      <x:c r="E21" s="25" t="str">
        <x:v>Promotion</x:v>
      </x:c>
      <x:c r="F21" s="25" t="str">
        <x:v>Mesure la contribution économique directe.</x:v>
      </x:c>
      <x:c r="G21" s="25" t="str">
        <x:v>Trimestrielle</x:v>
      </x:c>
      <x:c r="H21" s="25" t="str">
        <x:v>Préciser récurrent / exceptionnel et éviter la double attribution.</x:v>
      </x:c>
    </x:row>
    <x:row r="22">
      <x:c r="A22" s="25" t="str">
        <x:v>Efficience</x:v>
      </x:c>
      <x:c r="B22" s="25" t="str">
        <x:v>Coût total du contenu</x:v>
      </x:c>
      <x:c r="C22" s="25" t="str">
        <x:v>Temps interne valorisé + coûts externes.</x:v>
      </x:c>
      <x:c r="D22" s="25" t="str">
        <x:v>Temps de production × coût horaire + dépenses externes.</x:v>
      </x:c>
      <x:c r="E22" s="25" t="str">
        <x:v>Organisation / Rentabilité</x:v>
      </x:c>
      <x:c r="F22" s="25" t="str">
        <x:v>Permet de comparer l’effort aux résultats.</x:v>
      </x:c>
      <x:c r="G22" s="25" t="str">
        <x:v>Mensuelle</x:v>
      </x:c>
      <x:c r="H22" s="25" t="str">
        <x:v>Le temps doit être saisi de façon cohérente.</x:v>
      </x:c>
    </x:row>
    <x:row r="23">
      <x:c r="A23" s="25" t="str">
        <x:v>Efficience</x:v>
      </x:c>
      <x:c r="B23" s="25" t="str">
        <x:v>ROI indicatif</x:v>
      </x:c>
      <x:c r="C23" s="25" t="str">
        <x:v>Rapport entre gain direct et coût de communication.</x:v>
      </x:c>
      <x:c r="D23" s="25" t="str">
        <x:v>(CA généré - coût total) / coût total.</x:v>
      </x:c>
      <x:c r="E23" s="25" t="str">
        <x:v>Rentabilité</x:v>
      </x:c>
      <x:c r="F23" s="25" t="str">
        <x:v>Donne une lecture économique simple.</x:v>
      </x:c>
      <x:c r="G23" s="25" t="str">
        <x:v>Trimestrielle</x:v>
      </x:c>
      <x:c r="H23" s="25" t="str">
        <x:v>N’intègre pas totalement les gains de notoriété et de fidélisation.</x:v>
      </x:c>
    </x:row>
    <x:row r="25">
      <x:c r="A25" s="63" t="str">
        <x:v>Conseil : sélectionner un petit nombre d’indicateurs cohérents avec l’objectif SMART. Suivre tous les chiffres disponibles est une excellente façon de perdre du temps avec méthode.</x:v>
      </x:c>
      <x:c r="B25" s="63"/>
      <x:c r="C25" s="63"/>
      <x:c r="D25" s="63"/>
      <x:c r="E25" s="63"/>
      <x:c r="F25" s="63"/>
      <x:c r="G25" s="63"/>
      <x:c r="H25" s="63"/>
    </x:row>
  </x:sheetData>
  <x:mergeCells>
    <x:mergeCell ref="A1:H1"/>
    <x:mergeCell ref="A25:H25"/>
  </x:mergeCells>
  <x:pageMargins left="0.7" right="0.7" top="0.75" bottom="0.75" header="0.3" footer="0.3"/>
</x:worksheet>
</file>